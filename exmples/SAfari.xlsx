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-SYS\.gemini\antigravity-ide\scratch\attendance-desktop\exmples\"/>
    </mc:Choice>
  </mc:AlternateContent>
  <xr:revisionPtr revIDLastSave="0" documentId="13_ncr:1_{8CD61E0A-5E67-43FD-A1CC-CF275645F19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shboard" sheetId="1" r:id="rId1"/>
    <sheet name="Employee_Map" sheetId="2" r:id="rId2"/>
    <sheet name="Managers" sheetId="3" r:id="rId3"/>
    <sheet name="Branches" sheetId="7" r:id="rId4"/>
    <sheet name="Raw_Attendance" sheetId="4" r:id="rId5"/>
    <sheet name="Raw_Absence" sheetId="5" r:id="rId6"/>
  </sheets>
  <definedNames>
    <definedName name="_xlnm._FilterDatabase" localSheetId="3" hidden="1">Branches!$A$1:$C$75</definedName>
    <definedName name="_xlnm._FilterDatabase" localSheetId="2" hidden="1">Managers!#REF!</definedName>
    <definedName name="_xlnm._FilterDatabase" localSheetId="5" hidden="1">Raw_Absence!$A$1:$L$309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L2" i="4" l="1"/>
  <c r="AL3" i="4"/>
  <c r="AL4" i="4"/>
  <c r="AL5" i="4"/>
  <c r="AL6" i="4"/>
  <c r="AL7" i="4"/>
  <c r="AL8" i="4"/>
  <c r="AL9" i="4"/>
  <c r="AL10" i="4"/>
  <c r="AL11" i="4"/>
  <c r="AL12" i="4"/>
  <c r="AL13" i="4"/>
  <c r="AL14" i="4"/>
  <c r="AL15" i="4"/>
  <c r="AL16" i="4"/>
  <c r="AL17" i="4"/>
  <c r="AL18" i="4"/>
  <c r="AL19" i="4"/>
  <c r="AL20" i="4"/>
  <c r="AL21" i="4"/>
  <c r="AL22" i="4"/>
  <c r="AL23" i="4"/>
  <c r="AL24" i="4"/>
  <c r="AL25" i="4"/>
  <c r="AL26" i="4"/>
  <c r="AL27" i="4"/>
  <c r="AL28" i="4"/>
  <c r="AL29" i="4"/>
  <c r="AL30" i="4"/>
  <c r="AL31" i="4"/>
  <c r="AL32" i="4"/>
  <c r="AL33" i="4"/>
  <c r="AL34" i="4"/>
  <c r="AL35" i="4"/>
  <c r="AL36" i="4"/>
  <c r="AL37" i="4"/>
  <c r="AL38" i="4"/>
  <c r="AL39" i="4"/>
  <c r="AL40" i="4"/>
  <c r="AL41" i="4"/>
  <c r="AL42" i="4"/>
  <c r="AL43" i="4"/>
  <c r="AL44" i="4"/>
  <c r="AL45" i="4"/>
  <c r="AL46" i="4"/>
  <c r="AL47" i="4"/>
  <c r="AL48" i="4"/>
  <c r="AL49" i="4"/>
  <c r="AL50" i="4"/>
  <c r="AL51" i="4"/>
  <c r="AL52" i="4"/>
  <c r="AL53" i="4"/>
  <c r="AL54" i="4"/>
  <c r="AL55" i="4"/>
  <c r="AL56" i="4"/>
  <c r="AL57" i="4"/>
  <c r="AL58" i="4"/>
  <c r="AL59" i="4"/>
  <c r="AL60" i="4"/>
  <c r="AL61" i="4"/>
  <c r="AL62" i="4"/>
  <c r="AL63" i="4"/>
  <c r="AL64" i="4"/>
  <c r="AL65" i="4"/>
  <c r="AL66" i="4"/>
  <c r="AL67" i="4"/>
  <c r="AL68" i="4"/>
  <c r="AL69" i="4"/>
  <c r="AL70" i="4"/>
  <c r="AL71" i="4"/>
  <c r="AL72" i="4"/>
  <c r="AL73" i="4"/>
  <c r="AL74" i="4"/>
  <c r="AL75" i="4"/>
  <c r="AL76" i="4"/>
  <c r="AL77" i="4"/>
  <c r="AL78" i="4"/>
  <c r="AL79" i="4"/>
  <c r="AL80" i="4"/>
  <c r="AL81" i="4"/>
  <c r="AL82" i="4"/>
  <c r="AL83" i="4"/>
  <c r="AL84" i="4"/>
  <c r="AL85" i="4"/>
  <c r="AL86" i="4"/>
  <c r="AL87" i="4"/>
  <c r="AL88" i="4"/>
  <c r="AL89" i="4"/>
  <c r="AL90" i="4"/>
  <c r="AL91" i="4"/>
  <c r="AL92" i="4"/>
  <c r="AL93" i="4"/>
  <c r="AL94" i="4"/>
  <c r="AL95" i="4"/>
  <c r="AL96" i="4"/>
  <c r="AL97" i="4"/>
  <c r="AL98" i="4"/>
  <c r="AL99" i="4"/>
  <c r="AL100" i="4"/>
  <c r="AL101" i="4"/>
  <c r="AL102" i="4"/>
  <c r="AL103" i="4"/>
  <c r="AL104" i="4"/>
  <c r="AL105" i="4"/>
  <c r="AL106" i="4"/>
  <c r="AL107" i="4"/>
  <c r="AL108" i="4"/>
  <c r="AL109" i="4"/>
  <c r="AL110" i="4"/>
  <c r="AL111" i="4"/>
  <c r="AL112" i="4"/>
  <c r="AL113" i="4"/>
  <c r="AL114" i="4"/>
  <c r="AL115" i="4"/>
  <c r="AL116" i="4"/>
  <c r="AL117" i="4"/>
  <c r="AL118" i="4"/>
  <c r="AL119" i="4"/>
  <c r="AL120" i="4"/>
  <c r="AL121" i="4"/>
  <c r="AL122" i="4"/>
  <c r="AL123" i="4"/>
  <c r="AL124" i="4"/>
  <c r="AL125" i="4"/>
  <c r="AL126" i="4"/>
  <c r="AL127" i="4"/>
  <c r="AL128" i="4"/>
  <c r="AL129" i="4"/>
  <c r="AL130" i="4"/>
  <c r="AL131" i="4"/>
  <c r="AL132" i="4"/>
  <c r="AL133" i="4"/>
  <c r="AL134" i="4"/>
  <c r="AL135" i="4"/>
  <c r="AL136" i="4"/>
  <c r="AL137" i="4"/>
  <c r="AL138" i="4"/>
  <c r="AL139" i="4"/>
  <c r="AL140" i="4"/>
  <c r="AL141" i="4"/>
  <c r="AL142" i="4"/>
  <c r="AL143" i="4"/>
  <c r="AL144" i="4"/>
  <c r="AL145" i="4"/>
  <c r="AL146" i="4"/>
  <c r="AL147" i="4"/>
  <c r="AL148" i="4"/>
  <c r="AL149" i="4"/>
  <c r="AL150" i="4"/>
  <c r="AL151" i="4"/>
  <c r="AL152" i="4"/>
  <c r="AL153" i="4"/>
  <c r="AL154" i="4"/>
  <c r="AL155" i="4"/>
  <c r="AL156" i="4"/>
  <c r="AL157" i="4"/>
  <c r="AL158" i="4"/>
  <c r="AL159" i="4"/>
  <c r="AL160" i="4"/>
  <c r="AL161" i="4"/>
  <c r="AL162" i="4"/>
  <c r="AL163" i="4"/>
  <c r="AL164" i="4"/>
  <c r="AL165" i="4"/>
  <c r="AL166" i="4"/>
  <c r="AL167" i="4"/>
  <c r="AL168" i="4"/>
  <c r="AL169" i="4"/>
  <c r="AL170" i="4"/>
  <c r="AL171" i="4"/>
  <c r="AL172" i="4"/>
  <c r="AL173" i="4"/>
  <c r="AL174" i="4"/>
  <c r="AL175" i="4"/>
  <c r="AL176" i="4"/>
  <c r="AL177" i="4"/>
  <c r="AL178" i="4"/>
  <c r="AL179" i="4"/>
  <c r="AL180" i="4"/>
  <c r="AL181" i="4"/>
  <c r="AL182" i="4"/>
  <c r="AL183" i="4"/>
  <c r="AL184" i="4"/>
  <c r="AL185" i="4"/>
  <c r="AL186" i="4"/>
  <c r="AL187" i="4"/>
  <c r="AL188" i="4"/>
  <c r="AL189" i="4"/>
  <c r="AL190" i="4"/>
  <c r="AL191" i="4"/>
  <c r="AL192" i="4"/>
  <c r="AL193" i="4"/>
  <c r="AL194" i="4"/>
  <c r="AL195" i="4"/>
  <c r="AL196" i="4"/>
  <c r="AL197" i="4"/>
  <c r="AL198" i="4"/>
  <c r="AL199" i="4"/>
  <c r="AL200" i="4"/>
  <c r="AL201" i="4"/>
  <c r="AL202" i="4"/>
  <c r="AL203" i="4"/>
  <c r="AL204" i="4"/>
  <c r="AL205" i="4"/>
  <c r="AL206" i="4"/>
  <c r="AL207" i="4"/>
  <c r="AL208" i="4"/>
  <c r="AL209" i="4"/>
  <c r="AL210" i="4"/>
  <c r="AL211" i="4"/>
  <c r="AL212" i="4"/>
  <c r="AL213" i="4"/>
  <c r="AL214" i="4"/>
  <c r="AL215" i="4"/>
  <c r="AL216" i="4"/>
  <c r="AL217" i="4"/>
  <c r="AL218" i="4"/>
  <c r="AL219" i="4"/>
  <c r="AL220" i="4"/>
  <c r="AL221" i="4"/>
  <c r="AL222" i="4"/>
  <c r="AL223" i="4"/>
  <c r="AL224" i="4"/>
  <c r="AL225" i="4"/>
  <c r="AL226" i="4"/>
  <c r="AL227" i="4"/>
  <c r="AL228" i="4"/>
  <c r="AL229" i="4"/>
  <c r="AL230" i="4"/>
  <c r="AL231" i="4"/>
  <c r="AL232" i="4"/>
  <c r="AL233" i="4"/>
  <c r="AL234" i="4"/>
  <c r="AL235" i="4"/>
  <c r="AL236" i="4"/>
  <c r="AL237" i="4"/>
  <c r="AL238" i="4"/>
  <c r="AL239" i="4"/>
  <c r="AL240" i="4"/>
  <c r="AL241" i="4"/>
  <c r="AL242" i="4"/>
  <c r="AL243" i="4"/>
  <c r="AL244" i="4"/>
  <c r="AL245" i="4"/>
  <c r="AL246" i="4"/>
  <c r="AL247" i="4"/>
  <c r="AL248" i="4"/>
  <c r="AL249" i="4"/>
  <c r="AL250" i="4"/>
  <c r="AL251" i="4"/>
  <c r="AL252" i="4"/>
  <c r="AL253" i="4"/>
  <c r="AL254" i="4"/>
  <c r="AL255" i="4"/>
  <c r="AL256" i="4"/>
  <c r="AL257" i="4"/>
  <c r="AL258" i="4"/>
  <c r="AL259" i="4"/>
  <c r="AL260" i="4"/>
  <c r="AL261" i="4"/>
  <c r="AL262" i="4"/>
  <c r="AL263" i="4"/>
  <c r="AL264" i="4"/>
  <c r="AL265" i="4"/>
  <c r="AL266" i="4"/>
  <c r="AL267" i="4"/>
  <c r="AL268" i="4"/>
  <c r="AL269" i="4"/>
  <c r="AL270" i="4"/>
  <c r="AL271" i="4"/>
  <c r="AL272" i="4"/>
  <c r="AL273" i="4"/>
  <c r="AL274" i="4"/>
  <c r="AL275" i="4"/>
  <c r="AL276" i="4"/>
  <c r="AL277" i="4"/>
  <c r="AL278" i="4"/>
  <c r="AL279" i="4"/>
  <c r="AL280" i="4"/>
  <c r="AL281" i="4"/>
  <c r="AL282" i="4"/>
  <c r="AL283" i="4"/>
  <c r="AL284" i="4"/>
  <c r="AL285" i="4"/>
  <c r="AL286" i="4"/>
  <c r="AL287" i="4"/>
  <c r="AL288" i="4"/>
  <c r="AL289" i="4"/>
  <c r="AL290" i="4"/>
  <c r="AL291" i="4"/>
  <c r="AL292" i="4"/>
  <c r="AL293" i="4"/>
  <c r="AL294" i="4"/>
  <c r="AL295" i="4"/>
  <c r="AL296" i="4"/>
  <c r="AL297" i="4"/>
  <c r="AL298" i="4"/>
  <c r="AL299" i="4"/>
  <c r="AL300" i="4"/>
  <c r="AL301" i="4"/>
  <c r="AL302" i="4"/>
  <c r="AL303" i="4"/>
  <c r="AL304" i="4"/>
  <c r="AL305" i="4"/>
  <c r="AL306" i="4"/>
  <c r="AL307" i="4"/>
  <c r="AL308" i="4"/>
  <c r="AL309" i="4"/>
  <c r="AL310" i="4"/>
  <c r="AZ310" i="4"/>
  <c r="AL311" i="4"/>
  <c r="AZ311" i="4"/>
  <c r="AL312" i="4"/>
  <c r="AZ312" i="4"/>
  <c r="AL313" i="4"/>
  <c r="AZ313" i="4"/>
  <c r="AL314" i="4"/>
  <c r="AZ314" i="4"/>
  <c r="AL315" i="4"/>
  <c r="AZ315" i="4"/>
  <c r="AL316" i="4"/>
  <c r="AZ316" i="4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F8" i="1"/>
  <c r="AL317" i="4"/>
  <c r="AL318" i="4"/>
  <c r="AL319" i="4"/>
  <c r="AL320" i="4"/>
  <c r="AL321" i="4"/>
  <c r="AL322" i="4"/>
  <c r="AL323" i="4"/>
  <c r="AL324" i="4"/>
  <c r="AL325" i="4"/>
  <c r="AL326" i="4"/>
  <c r="AL327" i="4"/>
  <c r="AL328" i="4"/>
  <c r="AL329" i="4"/>
  <c r="AL330" i="4"/>
  <c r="AL331" i="4"/>
  <c r="AL332" i="4"/>
  <c r="AL333" i="4"/>
  <c r="AL334" i="4"/>
  <c r="AL335" i="4"/>
  <c r="AL336" i="4"/>
  <c r="AL337" i="4"/>
  <c r="AL338" i="4"/>
  <c r="AL339" i="4"/>
  <c r="AL340" i="4"/>
  <c r="AL341" i="4"/>
  <c r="AL342" i="4"/>
  <c r="AL343" i="4"/>
  <c r="AL344" i="4"/>
  <c r="AL345" i="4"/>
  <c r="AL346" i="4"/>
  <c r="AL347" i="4"/>
  <c r="AL348" i="4"/>
  <c r="AL349" i="4"/>
  <c r="AL350" i="4"/>
  <c r="AL351" i="4"/>
  <c r="AL352" i="4"/>
  <c r="AL353" i="4"/>
  <c r="AL354" i="4"/>
  <c r="AL355" i="4"/>
  <c r="AL356" i="4"/>
  <c r="AL357" i="4"/>
  <c r="AL358" i="4"/>
  <c r="AL359" i="4"/>
  <c r="AL360" i="4"/>
  <c r="AL361" i="4"/>
  <c r="AL362" i="4"/>
  <c r="AL363" i="4"/>
  <c r="AL364" i="4"/>
  <c r="AL365" i="4"/>
  <c r="AL366" i="4"/>
  <c r="AL367" i="4"/>
  <c r="AL368" i="4"/>
  <c r="AL369" i="4"/>
  <c r="AL370" i="4"/>
  <c r="AL371" i="4"/>
  <c r="AL372" i="4"/>
  <c r="AL373" i="4"/>
  <c r="AL374" i="4"/>
  <c r="AL375" i="4"/>
  <c r="AL376" i="4"/>
  <c r="AL377" i="4"/>
  <c r="AL378" i="4"/>
  <c r="AL379" i="4"/>
  <c r="AL380" i="4"/>
  <c r="AL381" i="4"/>
  <c r="AL382" i="4"/>
  <c r="AL383" i="4"/>
  <c r="AL384" i="4"/>
  <c r="AL385" i="4"/>
  <c r="AL386" i="4"/>
  <c r="AL387" i="4"/>
  <c r="AL388" i="4"/>
  <c r="AL389" i="4"/>
  <c r="AL390" i="4"/>
  <c r="AL391" i="4"/>
  <c r="AL392" i="4"/>
  <c r="AL393" i="4"/>
  <c r="AL394" i="4"/>
  <c r="AL395" i="4"/>
  <c r="AL396" i="4"/>
  <c r="AL397" i="4"/>
  <c r="AL398" i="4"/>
  <c r="AL399" i="4"/>
  <c r="AL400" i="4"/>
  <c r="AL401" i="4"/>
  <c r="AL402" i="4"/>
  <c r="AL403" i="4"/>
  <c r="AL404" i="4"/>
  <c r="AL405" i="4"/>
  <c r="AL406" i="4"/>
  <c r="AL407" i="4"/>
  <c r="AL408" i="4"/>
  <c r="AL409" i="4"/>
  <c r="AL410" i="4"/>
  <c r="AL411" i="4"/>
  <c r="AL412" i="4"/>
  <c r="AL413" i="4"/>
  <c r="AL414" i="4"/>
  <c r="AL415" i="4"/>
  <c r="AL416" i="4"/>
  <c r="AL417" i="4"/>
  <c r="AL418" i="4"/>
  <c r="AL419" i="4"/>
  <c r="AL420" i="4"/>
  <c r="AL421" i="4"/>
  <c r="AL422" i="4"/>
  <c r="AL423" i="4"/>
  <c r="AL424" i="4"/>
  <c r="AL425" i="4"/>
  <c r="AZ317" i="4"/>
  <c r="AZ318" i="4"/>
  <c r="AZ319" i="4"/>
  <c r="AZ320" i="4"/>
  <c r="AZ321" i="4"/>
  <c r="AZ322" i="4"/>
  <c r="AZ323" i="4"/>
  <c r="AZ324" i="4"/>
  <c r="AZ325" i="4"/>
  <c r="AZ326" i="4"/>
  <c r="AZ327" i="4"/>
  <c r="AZ328" i="4"/>
  <c r="AZ329" i="4"/>
  <c r="AZ330" i="4"/>
  <c r="AZ331" i="4"/>
  <c r="AZ332" i="4"/>
  <c r="AZ333" i="4"/>
  <c r="AZ334" i="4"/>
  <c r="AZ335" i="4"/>
  <c r="AZ336" i="4"/>
  <c r="AZ337" i="4"/>
  <c r="AZ338" i="4"/>
  <c r="AZ339" i="4"/>
  <c r="AZ340" i="4"/>
  <c r="AZ341" i="4"/>
  <c r="AZ342" i="4"/>
  <c r="AZ343" i="4"/>
  <c r="AZ344" i="4"/>
  <c r="AZ345" i="4"/>
  <c r="AZ346" i="4"/>
  <c r="AZ347" i="4"/>
  <c r="AZ348" i="4"/>
  <c r="AZ349" i="4"/>
  <c r="AZ350" i="4"/>
  <c r="AZ351" i="4"/>
  <c r="AZ352" i="4"/>
  <c r="AZ353" i="4"/>
  <c r="AZ354" i="4"/>
  <c r="AZ355" i="4"/>
  <c r="AZ356" i="4"/>
  <c r="AZ357" i="4"/>
  <c r="AZ358" i="4"/>
  <c r="AZ359" i="4"/>
  <c r="AZ360" i="4"/>
  <c r="AZ361" i="4"/>
  <c r="AZ362" i="4"/>
  <c r="AZ363" i="4"/>
  <c r="AZ364" i="4"/>
  <c r="AZ365" i="4"/>
  <c r="AZ366" i="4"/>
  <c r="AZ367" i="4"/>
  <c r="AZ368" i="4"/>
  <c r="AZ369" i="4"/>
  <c r="AZ370" i="4"/>
  <c r="AZ371" i="4"/>
  <c r="AZ372" i="4"/>
  <c r="AZ373" i="4"/>
  <c r="AZ374" i="4"/>
  <c r="AZ375" i="4"/>
  <c r="AZ376" i="4"/>
  <c r="AZ377" i="4"/>
  <c r="AZ378" i="4"/>
  <c r="AZ379" i="4"/>
  <c r="AZ380" i="4"/>
  <c r="AZ381" i="4"/>
  <c r="AZ382" i="4"/>
  <c r="AZ383" i="4"/>
  <c r="AZ384" i="4"/>
  <c r="AZ385" i="4"/>
  <c r="AZ386" i="4"/>
  <c r="AZ387" i="4"/>
  <c r="AZ388" i="4"/>
  <c r="AZ389" i="4"/>
  <c r="AZ390" i="4"/>
  <c r="AZ391" i="4"/>
  <c r="AZ392" i="4"/>
  <c r="AZ393" i="4"/>
  <c r="AZ394" i="4"/>
  <c r="AZ395" i="4"/>
  <c r="AZ396" i="4"/>
  <c r="AZ397" i="4"/>
  <c r="AZ398" i="4"/>
  <c r="AZ399" i="4"/>
  <c r="AZ400" i="4"/>
  <c r="AZ401" i="4"/>
  <c r="AZ402" i="4"/>
  <c r="AZ403" i="4"/>
  <c r="AZ404" i="4"/>
  <c r="AZ405" i="4"/>
  <c r="AZ406" i="4"/>
  <c r="AZ407" i="4"/>
  <c r="AZ408" i="4"/>
  <c r="AZ409" i="4"/>
  <c r="AZ410" i="4"/>
  <c r="AZ411" i="4"/>
  <c r="AZ412" i="4"/>
  <c r="AZ413" i="4"/>
  <c r="AZ414" i="4"/>
  <c r="AZ415" i="4"/>
  <c r="AZ416" i="4"/>
  <c r="AZ417" i="4"/>
  <c r="AZ418" i="4"/>
  <c r="AZ419" i="4"/>
  <c r="AZ420" i="4"/>
  <c r="AZ421" i="4"/>
  <c r="AZ422" i="4"/>
  <c r="AZ423" i="4"/>
  <c r="AZ424" i="4"/>
  <c r="AZ425" i="4"/>
  <c r="AZ426" i="4"/>
  <c r="AZ427" i="4"/>
  <c r="AZ428" i="4"/>
  <c r="AZ429" i="4"/>
  <c r="AZ430" i="4"/>
  <c r="AZ431" i="4"/>
  <c r="AZ432" i="4"/>
  <c r="AZ433" i="4"/>
  <c r="AZ434" i="4"/>
  <c r="AZ435" i="4"/>
  <c r="AZ436" i="4"/>
  <c r="AZ437" i="4"/>
  <c r="AZ438" i="4"/>
  <c r="AZ439" i="4"/>
  <c r="AZ440" i="4"/>
  <c r="AZ441" i="4"/>
  <c r="AZ442" i="4"/>
  <c r="AZ443" i="4"/>
  <c r="AZ444" i="4"/>
  <c r="AZ445" i="4"/>
  <c r="AZ446" i="4"/>
  <c r="AZ447" i="4"/>
  <c r="AZ448" i="4"/>
  <c r="AZ449" i="4"/>
  <c r="AZ450" i="4"/>
  <c r="AZ451" i="4"/>
  <c r="AZ452" i="4"/>
  <c r="AZ453" i="4"/>
  <c r="AZ454" i="4"/>
  <c r="AZ455" i="4"/>
  <c r="AZ456" i="4"/>
  <c r="AZ457" i="4"/>
  <c r="AZ458" i="4"/>
  <c r="AZ459" i="4"/>
  <c r="AZ460" i="4"/>
  <c r="AZ461" i="4"/>
  <c r="AZ462" i="4"/>
  <c r="AZ463" i="4"/>
  <c r="AZ464" i="4"/>
  <c r="AZ465" i="4"/>
  <c r="AZ466" i="4"/>
  <c r="AZ467" i="4"/>
  <c r="AZ468" i="4"/>
  <c r="AZ469" i="4"/>
  <c r="AZ470" i="4"/>
  <c r="AZ471" i="4"/>
  <c r="AZ472" i="4"/>
  <c r="AZ473" i="4"/>
  <c r="AZ474" i="4"/>
  <c r="AZ475" i="4"/>
  <c r="AZ476" i="4"/>
  <c r="AZ477" i="4"/>
  <c r="AZ478" i="4"/>
  <c r="AZ479" i="4"/>
  <c r="AZ480" i="4"/>
  <c r="AZ481" i="4"/>
  <c r="AZ482" i="4"/>
  <c r="AZ483" i="4"/>
  <c r="AZ484" i="4"/>
  <c r="AZ485" i="4"/>
  <c r="AZ486" i="4"/>
  <c r="AZ487" i="4"/>
  <c r="AZ488" i="4"/>
  <c r="AZ489" i="4"/>
  <c r="AZ490" i="4"/>
  <c r="AZ491" i="4"/>
  <c r="AZ492" i="4"/>
  <c r="AZ493" i="4"/>
  <c r="AZ494" i="4"/>
  <c r="AZ495" i="4"/>
  <c r="AZ496" i="4"/>
  <c r="AZ497" i="4"/>
  <c r="AZ498" i="4"/>
  <c r="AZ499" i="4"/>
  <c r="AZ500" i="4"/>
  <c r="AZ501" i="4"/>
  <c r="AZ502" i="4"/>
  <c r="AZ503" i="4"/>
  <c r="AZ504" i="4"/>
  <c r="AZ505" i="4"/>
  <c r="AZ506" i="4"/>
  <c r="AZ507" i="4"/>
  <c r="AZ508" i="4"/>
  <c r="AZ509" i="4"/>
  <c r="AZ510" i="4"/>
  <c r="AZ511" i="4"/>
  <c r="AZ512" i="4"/>
  <c r="AZ513" i="4"/>
  <c r="AZ514" i="4"/>
  <c r="AZ515" i="4"/>
  <c r="AZ516" i="4"/>
  <c r="AZ517" i="4"/>
  <c r="AZ518" i="4"/>
  <c r="AZ519" i="4"/>
  <c r="AZ520" i="4"/>
  <c r="AZ521" i="4"/>
  <c r="AZ522" i="4"/>
  <c r="AZ523" i="4"/>
  <c r="AZ524" i="4"/>
  <c r="AZ525" i="4"/>
  <c r="AZ526" i="4"/>
  <c r="AZ527" i="4"/>
  <c r="AZ528" i="4"/>
  <c r="E3" i="1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G6" i="1" l="1" a="1"/>
  <c r="G6" i="1" s="1"/>
  <c r="D6" i="1" a="1"/>
  <c r="D6" i="1" s="1"/>
  <c r="A8" i="1" a="1"/>
  <c r="A8" i="1" s="1"/>
  <c r="A9" i="1" a="1"/>
  <c r="A9" i="1" s="1"/>
  <c r="D8" i="1" a="1"/>
  <c r="D8" i="1" s="1"/>
  <c r="A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<sst xmlns="http://schemas.openxmlformats.org/spreadsheetml/2006/main" count="9006" uniqueCount="448">
  <si>
    <t>On Time</t>
  </si>
  <si>
    <t>Delay</t>
  </si>
  <si>
    <t>Absent</t>
  </si>
  <si>
    <t>OverTime</t>
  </si>
  <si>
    <t>PFNumber</t>
  </si>
  <si>
    <t>1</t>
  </si>
  <si>
    <t>2</t>
  </si>
  <si>
    <t>3</t>
  </si>
  <si>
    <t>4</t>
  </si>
  <si>
    <t>5</t>
  </si>
  <si>
    <t>6</t>
  </si>
  <si>
    <t>7</t>
  </si>
  <si>
    <t>8</t>
  </si>
  <si>
    <t>Employee Name</t>
  </si>
  <si>
    <t>Branch</t>
  </si>
  <si>
    <t>Code</t>
  </si>
  <si>
    <t>Manager</t>
  </si>
  <si>
    <t>Naif Marzouq Al rawq</t>
  </si>
  <si>
    <t>Central</t>
  </si>
  <si>
    <t>SAF005C</t>
  </si>
  <si>
    <t>Haidar Ahmed Dahal</t>
  </si>
  <si>
    <t>SAF013C</t>
  </si>
  <si>
    <t>Nasser Mohammed Alhuwayshil</t>
  </si>
  <si>
    <t>SAF033C</t>
  </si>
  <si>
    <t>Fawaz Hamdi Al Otaibi</t>
  </si>
  <si>
    <t>SAF021C</t>
  </si>
  <si>
    <t>Ibrahim Mohammed Al shehri</t>
  </si>
  <si>
    <t>Southern</t>
  </si>
  <si>
    <t>SAF006S</t>
  </si>
  <si>
    <t>Abdulmhsen Saleh Al Balawi</t>
  </si>
  <si>
    <t>Northern</t>
  </si>
  <si>
    <t>SAF020N</t>
  </si>
  <si>
    <t>Mohammed Abdullah Muaddi</t>
  </si>
  <si>
    <t>SAF012S</t>
  </si>
  <si>
    <t>Abdulaziz Abdullaha Alshehri</t>
  </si>
  <si>
    <t>SAF030C</t>
  </si>
  <si>
    <t>Ayman Suwailem Al Zarea</t>
  </si>
  <si>
    <t>SAF009N</t>
  </si>
  <si>
    <t>Yousef Suliman AL-Ayyri</t>
  </si>
  <si>
    <t>SAF022C</t>
  </si>
  <si>
    <t>SALEH ABDULLHAMMED AL ALI</t>
  </si>
  <si>
    <t>Eastren</t>
  </si>
  <si>
    <t>SAF017E</t>
  </si>
  <si>
    <t>Mobark Obaid Al Dowsari</t>
  </si>
  <si>
    <t>SAF008C</t>
  </si>
  <si>
    <t>Fawaz Abdulrahim Shiqdar</t>
  </si>
  <si>
    <t xml:space="preserve">Western </t>
  </si>
  <si>
    <t>SAF013W</t>
  </si>
  <si>
    <t>Abdullah Faisal Saadeddin</t>
  </si>
  <si>
    <t>SAF010W</t>
  </si>
  <si>
    <t>Turki Saleh AlKalaf</t>
  </si>
  <si>
    <t>SAF004C</t>
  </si>
  <si>
    <t>Bandar Ali Alshamrani</t>
  </si>
  <si>
    <t>SAF013E</t>
  </si>
  <si>
    <t>Abdulmohsen Ruzayq Al Harthi</t>
  </si>
  <si>
    <t>SAF009W</t>
  </si>
  <si>
    <t>Abdulhamid Khalid Al Ruwaili</t>
  </si>
  <si>
    <t>SAF010N</t>
  </si>
  <si>
    <t>Musab Abdulrahman Al Dawsari</t>
  </si>
  <si>
    <t>SAF002E</t>
  </si>
  <si>
    <t>Mohammad Hameed Alshammary</t>
  </si>
  <si>
    <t>SAF026N</t>
  </si>
  <si>
    <t>Mohammed Ahmed Faqih</t>
  </si>
  <si>
    <t>SAF006W</t>
  </si>
  <si>
    <t>Ali Mesfeer Al Jubayr</t>
  </si>
  <si>
    <t>SAF015S</t>
  </si>
  <si>
    <t>Abdullah Abdullatf Al Shahrani</t>
  </si>
  <si>
    <t>SAF003S</t>
  </si>
  <si>
    <t>Abdulrahman Dhahi Al Harbi</t>
  </si>
  <si>
    <t>SAF029C</t>
  </si>
  <si>
    <t>Abdulkareem Ibraheem ALHawai</t>
  </si>
  <si>
    <t>SAF025C</t>
  </si>
  <si>
    <t>Bader Mohammed Al Otaibi</t>
  </si>
  <si>
    <t>SAF017C</t>
  </si>
  <si>
    <t>Abdullah Abdulhadi Al-Akshan</t>
  </si>
  <si>
    <t>SAF012C</t>
  </si>
  <si>
    <t>Wael Muqbil Al Anazi</t>
  </si>
  <si>
    <t>SAF019N</t>
  </si>
  <si>
    <t>khalid hasen Alghamdi</t>
  </si>
  <si>
    <t>SAF010S</t>
  </si>
  <si>
    <t>Hamoud Abdullah Al Subaie</t>
  </si>
  <si>
    <t>SAF015E</t>
  </si>
  <si>
    <t>Abdullah Saleh Al Qarni</t>
  </si>
  <si>
    <t>SAF012W</t>
  </si>
  <si>
    <t>Majid Nawaf Al Otaibi</t>
  </si>
  <si>
    <t>SAF012N</t>
  </si>
  <si>
    <t>ABDULAZIZ  SAAD   BEN  ASFOR</t>
  </si>
  <si>
    <t>SAF037C</t>
  </si>
  <si>
    <t>Abdulaziz Fahad Al Quraini</t>
  </si>
  <si>
    <t>SAF027C</t>
  </si>
  <si>
    <t>Ahmed Hassan Najjar</t>
  </si>
  <si>
    <t>SAF018W</t>
  </si>
  <si>
    <t>Naif Abdullah Al Shahrani</t>
  </si>
  <si>
    <t>SAF002S</t>
  </si>
  <si>
    <t>Faris Bander Almutairi</t>
  </si>
  <si>
    <t>SAF011C</t>
  </si>
  <si>
    <t>Naif Mohammed Al Subaie</t>
  </si>
  <si>
    <t>SAF035C</t>
  </si>
  <si>
    <t>Mohammed Abdulrahman Al sagri</t>
  </si>
  <si>
    <t>SAF003C</t>
  </si>
  <si>
    <t>Mohammad Dakhalallah Al Domairi</t>
  </si>
  <si>
    <t>SAF007N</t>
  </si>
  <si>
    <t>Tariq Abdulhamid Al Anazi</t>
  </si>
  <si>
    <t>SAF005N</t>
  </si>
  <si>
    <t>Abdullah Sowileh Al Roqi</t>
  </si>
  <si>
    <t>SAF025N</t>
  </si>
  <si>
    <t>Yasser Abdulaziz Al Anzi</t>
  </si>
  <si>
    <t>SAF003E</t>
  </si>
  <si>
    <t>Fahad Ahmed Al Anazi</t>
  </si>
  <si>
    <t>SAF002C</t>
  </si>
  <si>
    <t>Haroon Yahya AlFaifi</t>
  </si>
  <si>
    <t>SAF001S</t>
  </si>
  <si>
    <t>Waleed Sulaiman Al Sulaiman</t>
  </si>
  <si>
    <t>SAF006C</t>
  </si>
  <si>
    <t>Amal Hakem Alenezi</t>
  </si>
  <si>
    <t>SAF036C</t>
  </si>
  <si>
    <t>Abdullah Khalid AlZeer</t>
  </si>
  <si>
    <t>SAF014C</t>
  </si>
  <si>
    <t>Fayez Aabed Almalki</t>
  </si>
  <si>
    <t>SAF017W</t>
  </si>
  <si>
    <t>Hamoud Hammad Al Dawsari</t>
  </si>
  <si>
    <t>SAF019C</t>
  </si>
  <si>
    <t>Omar Yaan Allaha AlFaeq</t>
  </si>
  <si>
    <t>SAF001W</t>
  </si>
  <si>
    <t>Mazen Mohammed Hazazi</t>
  </si>
  <si>
    <t>SAF018C</t>
  </si>
  <si>
    <t>Bader Mohammed Al Anazi</t>
  </si>
  <si>
    <t>SAF031C</t>
  </si>
  <si>
    <t>Abdulmalik Fahad Al otaibi</t>
  </si>
  <si>
    <t>SAF004N</t>
  </si>
  <si>
    <t>Turki Nawaf Al Shammari</t>
  </si>
  <si>
    <t>SAF020E</t>
  </si>
  <si>
    <t>Ziyad Ali Alhaidari</t>
  </si>
  <si>
    <t>SAF024N</t>
  </si>
  <si>
    <t>Nasser Houran Al-Enezi</t>
  </si>
  <si>
    <t>SAF011N</t>
  </si>
  <si>
    <t>Raghad Yousef Alotaibi</t>
  </si>
  <si>
    <t>SAF034C</t>
  </si>
  <si>
    <t>Musab Hussain Al Wallani</t>
  </si>
  <si>
    <t>SAF004S</t>
  </si>
  <si>
    <t>AHMED HABIB ALNASER</t>
  </si>
  <si>
    <t>SAF012E</t>
  </si>
  <si>
    <t>Fahd Mefreh AlOtaibi</t>
  </si>
  <si>
    <t>SAF007C</t>
  </si>
  <si>
    <t>Mazin Egab Al-Dalbihe</t>
  </si>
  <si>
    <t>SAF015C</t>
  </si>
  <si>
    <t>Qasem Obaidallah Al Rakhis</t>
  </si>
  <si>
    <t>SAF015N</t>
  </si>
  <si>
    <t>Faisal Egil Meiegil AlMutiri</t>
  </si>
  <si>
    <t>SAF018N</t>
  </si>
  <si>
    <t>Suhaib Omar Al reemi</t>
  </si>
  <si>
    <t>SAF011W</t>
  </si>
  <si>
    <t>Sanad Nashib Majrashi</t>
  </si>
  <si>
    <t>SAF016S</t>
  </si>
  <si>
    <t>Khalid Munif Al Mutairi</t>
  </si>
  <si>
    <t>SAF026C</t>
  </si>
  <si>
    <t>Waleed Khalid Al shammari</t>
  </si>
  <si>
    <t>SAF004E</t>
  </si>
  <si>
    <t>Fahad Saleh Al Motairi</t>
  </si>
  <si>
    <t>SAF015W</t>
  </si>
  <si>
    <t>Abdulaziz Abdullah Alrashedi</t>
  </si>
  <si>
    <t>SAF016W</t>
  </si>
  <si>
    <t>Ahmed Shulaywih Al Johani</t>
  </si>
  <si>
    <t>SAF014N</t>
  </si>
  <si>
    <t>Mohammed Assaf AlOtaibi</t>
  </si>
  <si>
    <t>SAF023C</t>
  </si>
  <si>
    <t>Mohammed Amer Al Shehri</t>
  </si>
  <si>
    <t>SAF011S</t>
  </si>
  <si>
    <t>Abdullah Mohammed Al Balawi</t>
  </si>
  <si>
    <t>SAF021N</t>
  </si>
  <si>
    <t>Manager Name</t>
  </si>
  <si>
    <t>central</t>
  </si>
  <si>
    <t>Name</t>
  </si>
  <si>
    <t>PFAttendance</t>
  </si>
  <si>
    <t>R</t>
  </si>
  <si>
    <t>AM : onTime</t>
  </si>
  <si>
    <t>OFF</t>
  </si>
  <si>
    <t>AM : DELAY</t>
  </si>
  <si>
    <t>PM : DELAY</t>
  </si>
  <si>
    <t>OFF : OverTime</t>
  </si>
  <si>
    <t>PM : ABS</t>
  </si>
  <si>
    <t>PM : onTime</t>
  </si>
  <si>
    <t>AL : OverTime</t>
  </si>
  <si>
    <t>Fahad Sahmi Al Subaie</t>
  </si>
  <si>
    <t>AL</t>
  </si>
  <si>
    <t>Nawaf Sanad Al Johani</t>
  </si>
  <si>
    <t>Yousef Musaad Alyousef</t>
  </si>
  <si>
    <t>AM  : onTime</t>
  </si>
  <si>
    <t>Abdulelah rashoud Bin Rshoud</t>
  </si>
  <si>
    <t>AM : ABS</t>
  </si>
  <si>
    <t>Wael Fraih Alanazi</t>
  </si>
  <si>
    <t>IBRAHIM RAMADAN AL ABAWI</t>
  </si>
  <si>
    <t>AM : OverTime</t>
  </si>
  <si>
    <t>Abdulaziz Yousef Al Buraik</t>
  </si>
  <si>
    <t>Rakan Saleem Al Shammari</t>
  </si>
  <si>
    <t>Ziyad Mohammed Al wadai</t>
  </si>
  <si>
    <t>Mohammed Hussain Al Abdullah</t>
  </si>
  <si>
    <t>Melfi Hamdan Mulfi AlHasan</t>
  </si>
  <si>
    <t>Eyad Helal Abu Laban</t>
  </si>
  <si>
    <t>Rashed Badi Al Gharbi</t>
  </si>
  <si>
    <t>Mohammed Atiyah Al-Obaid</t>
  </si>
  <si>
    <t>Fahad Musib Al Enezi</t>
  </si>
  <si>
    <t>Mohammed Hamad Al Saykhan</t>
  </si>
  <si>
    <t>Basil Mohammed Alshahrani</t>
  </si>
  <si>
    <t>Ibrahim Abdullah Al Bin Nasser</t>
  </si>
  <si>
    <t>SICK</t>
  </si>
  <si>
    <t>Basim Abdulkarim Al Ghamdi</t>
  </si>
  <si>
    <t>Mujddil Nasser Al Dosari</t>
  </si>
  <si>
    <t>Mohammed Ali Bajawi</t>
  </si>
  <si>
    <t>Aqeel jamel al ahmad</t>
  </si>
  <si>
    <t>Abulaziz Fahad Obaid</t>
  </si>
  <si>
    <t>Bandar Tariq Faqihi</t>
  </si>
  <si>
    <t>Ahmed Ali AL-Rashed</t>
  </si>
  <si>
    <t>Asiel Mohammed Areshy</t>
  </si>
  <si>
    <t>Metrek Hasan AlBarak</t>
  </si>
  <si>
    <t>Abdulrahman Ibrahim Al Shamsan</t>
  </si>
  <si>
    <t>Ramy Saleh Qattan</t>
  </si>
  <si>
    <t>Ali Mesfeer Al Kadi</t>
  </si>
  <si>
    <t>Thamer Safar Al Mamoun</t>
  </si>
  <si>
    <t>Muath Abdullah Alluhibi</t>
  </si>
  <si>
    <t>Mohammed Sulaiman Jaar</t>
  </si>
  <si>
    <t>Abdullah Mohammed Al Otaibi</t>
  </si>
  <si>
    <t>Abdulrahman Abdullah Al Busayli</t>
  </si>
  <si>
    <t>Makki Ahmed Al Sharif</t>
  </si>
  <si>
    <t>Abdulrahman Mohammed Alotaibi</t>
  </si>
  <si>
    <t xml:space="preserve">Central </t>
  </si>
  <si>
    <t>Daifallh GhurmAlla Al Zahrani</t>
  </si>
  <si>
    <t>Mohammed Fisal Al Subaie</t>
  </si>
  <si>
    <t>Nayif Mutaeab Al Eanzi</t>
  </si>
  <si>
    <t>Abdullah Yahyah Al faifi</t>
  </si>
  <si>
    <t>Mutlaq Abdullah Al Subaie</t>
  </si>
  <si>
    <t>Naif Fahid Al-Subaie</t>
  </si>
  <si>
    <t>MOURTADA JAFER AL BANNAY</t>
  </si>
  <si>
    <t>Abdalellah Dafer Al Mashori</t>
  </si>
  <si>
    <t>Hamoud Jaser AlJasir</t>
  </si>
  <si>
    <t>Ayman Abdullah Alrdene</t>
  </si>
  <si>
    <t>Abdulrahman saeed Al Ghamdi</t>
  </si>
  <si>
    <t>Ahmed Atallah Al Otaibi</t>
  </si>
  <si>
    <t>Mohammed Faisal Al Subaie</t>
  </si>
  <si>
    <t>Yasir Omar Al Hazmi</t>
  </si>
  <si>
    <t>Naif Aboud Al Ghubaywi</t>
  </si>
  <si>
    <t>Ghazlan Mohammed Al Dawsari</t>
  </si>
  <si>
    <t>Awad Abdullah Al Jomaa</t>
  </si>
  <si>
    <t>Talal Salamah AlAtawi</t>
  </si>
  <si>
    <t>Turki Hadi Alotaibi</t>
  </si>
  <si>
    <t>Nawaf Awad Al otaibi</t>
  </si>
  <si>
    <t>Jalal Abdullah Al Bayali</t>
  </si>
  <si>
    <t>Abdullah Saad Al shahrani</t>
  </si>
  <si>
    <t>Jaber Abdullah Al Asmari</t>
  </si>
  <si>
    <t>Osama Ahmed Al Hassan</t>
  </si>
  <si>
    <t>Mohanad Marwan Halawani</t>
  </si>
  <si>
    <t>Salem Meshal Al Baqami</t>
  </si>
  <si>
    <t>Faisal Abdulrahman Al Dossari</t>
  </si>
  <si>
    <t>abdulrahman Ata al Enezi</t>
  </si>
  <si>
    <t>Faisal Fatim Alotabi</t>
  </si>
  <si>
    <t>Mohammed Ali Alkraz</t>
  </si>
  <si>
    <t>Turki Hamdan Al Anazi</t>
  </si>
  <si>
    <t>NAWAF FAIHAN ALOTAIBI</t>
  </si>
  <si>
    <t>Saed mohammed AlQasim</t>
  </si>
  <si>
    <t>Saeed Fahad Al Shahrani</t>
  </si>
  <si>
    <t>Muath Khalid Al Hajri</t>
  </si>
  <si>
    <t>Khalid Ibrahim Al Saud</t>
  </si>
  <si>
    <t>Ibrahim Mansour Al Qnessy</t>
  </si>
  <si>
    <t>Hassan Jaber Allaghabi</t>
  </si>
  <si>
    <t>Saad Reshed Al Daql</t>
  </si>
  <si>
    <t>Abdulrahman Mousa Al ruwaili</t>
  </si>
  <si>
    <t>Talal Abdulrazaq Al Otaibi</t>
  </si>
  <si>
    <t>Moayed Mohammed Sanyor</t>
  </si>
  <si>
    <t>Turki Awadh Al Otaibi</t>
  </si>
  <si>
    <t>Faisal Sameer Al Johani</t>
  </si>
  <si>
    <t>ALI ESSA AL HAMAD</t>
  </si>
  <si>
    <t>Majed Hussain Al Humid</t>
  </si>
  <si>
    <t>Abdullah Awadh Al Enzi</t>
  </si>
  <si>
    <t>Gala Saud Al otaibi</t>
  </si>
  <si>
    <t>Faisal Saeed Al Shahrani</t>
  </si>
  <si>
    <t>Yazeed Mubarak Al Rashdi</t>
  </si>
  <si>
    <t>Ahmed Abdullah Al Zahrani</t>
  </si>
  <si>
    <t>PM : OverTime</t>
  </si>
  <si>
    <t>Majed Muhay AlMutairi</t>
  </si>
  <si>
    <t>Salman Abdullah Al Hussain</t>
  </si>
  <si>
    <t>Fahad Saeed Al Dawsari</t>
  </si>
  <si>
    <t>Nawaf Mohmoud Sanuwr</t>
  </si>
  <si>
    <t>Abdulrahman Daifallah Al Manjumi</t>
  </si>
  <si>
    <t>Meshari Zaed Al Otaibi</t>
  </si>
  <si>
    <t>Abdullah Khalid Al Otaibi</t>
  </si>
  <si>
    <t>Ahmed Mohammed Al Harbi</t>
  </si>
  <si>
    <t>Abdullah Abdulaziz Almutawa</t>
  </si>
  <si>
    <t>Faleh Humood Al Harbi</t>
  </si>
  <si>
    <t>Abdullah Mesfeer Al Qahtani</t>
  </si>
  <si>
    <t>Essa Ibrahim Alwafi</t>
  </si>
  <si>
    <t>Faisal Salem Al Hilfi</t>
  </si>
  <si>
    <t>Basil Mohammed Al Harbi</t>
  </si>
  <si>
    <t>Saeed Abdullah Alshahrani</t>
  </si>
  <si>
    <t>AbdulQader Ali Al Mousa</t>
  </si>
  <si>
    <t>Khalaf Faisal Al hammadi</t>
  </si>
  <si>
    <t>Sultan Abdullah Al Shehri</t>
  </si>
  <si>
    <t>Mohammed Abdulaziz Al kabrish</t>
  </si>
  <si>
    <t>Abdullah Bader Al Otaibi</t>
  </si>
  <si>
    <t>Fahad Falah Al Enezi</t>
  </si>
  <si>
    <t>Waleed Halil Al Osaimi</t>
  </si>
  <si>
    <t>Sattam Jari Bin Sarhan</t>
  </si>
  <si>
    <t>Fahad Saeed AlMadhi</t>
  </si>
  <si>
    <t>Hazem Abdulmohsen Al johani</t>
  </si>
  <si>
    <t>Khalid Saud Alqahtani</t>
  </si>
  <si>
    <t>MOHAMMED MOUFARRAJ AL MARWANI</t>
  </si>
  <si>
    <t>Abdulaziz Abdullah Kaddah</t>
  </si>
  <si>
    <t>Meshary Abdullah Al-Subaih</t>
  </si>
  <si>
    <t>Omar Mohammed Khard</t>
  </si>
  <si>
    <t>Battal Awwadh Al Thuwaybi</t>
  </si>
  <si>
    <t>Naif Sahal Al otaibi</t>
  </si>
  <si>
    <t>Mashael Fahad Al Dawalani</t>
  </si>
  <si>
    <t>Khalid Abdulaziz Al Shaya</t>
  </si>
  <si>
    <t>Ziyad Homoud Al Dulayhan</t>
  </si>
  <si>
    <t>Salem Mohammed AlFahmi</t>
  </si>
  <si>
    <t>Atallah Shehab Al Shammari</t>
  </si>
  <si>
    <t>Bassam Naif Al Otaibi</t>
  </si>
  <si>
    <t>Faris Suleiman Al-Huwaidi</t>
  </si>
  <si>
    <t>Amer Salah Sembawa</t>
  </si>
  <si>
    <t>Abdulaziz Saud Al Mutairi</t>
  </si>
  <si>
    <t>Essa Ibrahim Haqawi</t>
  </si>
  <si>
    <t>Khalid Nasser Al Shahrani</t>
  </si>
  <si>
    <t>Saleh Mohammed AL-Hadrami</t>
  </si>
  <si>
    <t>Rakan Ahmad Al Enezi</t>
  </si>
  <si>
    <t>Muteb Ayidh Al Shahrani</t>
  </si>
  <si>
    <t>Amar Hamoud Alotaibi</t>
  </si>
  <si>
    <t>Sultan Fahad Barnawi</t>
  </si>
  <si>
    <t>Easa Metieb Shddad Almotairy</t>
  </si>
  <si>
    <t>Muhannad Abdullah Al Qahtani</t>
  </si>
  <si>
    <t>Obaid Fahed Al Dawsari</t>
  </si>
  <si>
    <t>Abdulmajeed Hajed Al Otaibi</t>
  </si>
  <si>
    <t>Essa Ahmed Sahhari</t>
  </si>
  <si>
    <t>ALI ABDULAZIZ ALKUBRAISH</t>
  </si>
  <si>
    <t>AlHassan Ibrahim AlOlasi</t>
  </si>
  <si>
    <t>Bader Fahad Al Otaibi</t>
  </si>
  <si>
    <t>Nasser Mansour Altulayhi</t>
  </si>
  <si>
    <t>Sultan Zaher Al Zahrani</t>
  </si>
  <si>
    <t>DEEB KRAEEM KHALEFAH ALONEZI</t>
  </si>
  <si>
    <t>Ahmed Mohammed Al Dawsari</t>
  </si>
  <si>
    <t>Mohammed Jumah Alaanzi</t>
  </si>
  <si>
    <t>Omar Saeed Al Mamun</t>
  </si>
  <si>
    <t>Abdullah Khallid Alanazi</t>
  </si>
  <si>
    <t>SAif Lafi Al Shammari</t>
  </si>
  <si>
    <t>Abdullah Ayed Almutairi</t>
  </si>
  <si>
    <t>Rawan Saad AlQahtani</t>
  </si>
  <si>
    <t>Khalid Abdulhadi Alotaibi</t>
  </si>
  <si>
    <t>Hamad Hamoud Al Msoudy</t>
  </si>
  <si>
    <t>Abdulrahman Mushabbab Al Qahtani</t>
  </si>
  <si>
    <t>Ahmed Salman Al Harbi</t>
  </si>
  <si>
    <t>Turki Abdulaziz Abdrabuh</t>
  </si>
  <si>
    <t>Fahad Saad Al Dawsari</t>
  </si>
  <si>
    <t>Abdulrahman Aloush Alkahtani</t>
  </si>
  <si>
    <t>Abdulrahman Turki Alaydaa</t>
  </si>
  <si>
    <t>Hamed Marzouq Al Johani</t>
  </si>
  <si>
    <t>Muteb Mathkar Alotaibi</t>
  </si>
  <si>
    <t>Abdulrahman Sulaiman Al Johani</t>
  </si>
  <si>
    <t>Salem Salman Al Afifi</t>
  </si>
  <si>
    <t>Abdulaziz Sultan AlDawsari</t>
  </si>
  <si>
    <t>Abdulelah Moshsen Al Mutairi</t>
  </si>
  <si>
    <t>Salim Helo AL Onazi</t>
  </si>
  <si>
    <t>AbdulAziz Mohammed Asiri</t>
  </si>
  <si>
    <t>Mohammed Abdulrahman AlSamhan</t>
  </si>
  <si>
    <t>Farraj Nayif Alsubaie</t>
  </si>
  <si>
    <t>Khalid Shoei Aati</t>
  </si>
  <si>
    <t>Turki Mohammed Al salmi</t>
  </si>
  <si>
    <t>Nader Majid Al-Harthi</t>
  </si>
  <si>
    <t>Meshari Maqbul Al Subaie</t>
  </si>
  <si>
    <t>Faiz Hemdi al Enizi</t>
  </si>
  <si>
    <t>Yousef Awad Almoammar</t>
  </si>
  <si>
    <t>Majed Abeullah Al Rwaili</t>
  </si>
  <si>
    <t>Saad Jarwan Issa Al Shammari</t>
  </si>
  <si>
    <t>Reham Saad Al Otaibi</t>
  </si>
  <si>
    <t>Faisal Abdullah Al Qurashi</t>
  </si>
  <si>
    <t>Bader Faihan Alotaibi</t>
  </si>
  <si>
    <t>Asel Jameel Astak</t>
  </si>
  <si>
    <t>Nawaf Refdan Al Qahtani</t>
  </si>
  <si>
    <t>Nawaf Hdyrim Alluqmani</t>
  </si>
  <si>
    <t>Marwan Saleh Aldawood</t>
  </si>
  <si>
    <t>Sufian Yousef Hamdi</t>
  </si>
  <si>
    <t>PM  : onTime</t>
  </si>
  <si>
    <t>Faisal Ali Ghorm Allah Al Ghamdi</t>
  </si>
  <si>
    <t>Fawaz Gobel AlMqati</t>
  </si>
  <si>
    <t>Fahad mobarak Alotaibi</t>
  </si>
  <si>
    <t>Abdulaziz Saleh Al Gero</t>
  </si>
  <si>
    <t>Fahad Abdulwahab Al Ghamdi</t>
  </si>
  <si>
    <t>Nawaf sultan Alotaibi</t>
  </si>
  <si>
    <t>Musab Abdullah Al Yasi</t>
  </si>
  <si>
    <t>Mohammed Saleh Al Muzairi</t>
  </si>
  <si>
    <t>IBRAHIM ABDULLRAZAQ AL KHONANI</t>
  </si>
  <si>
    <t>Mansour Ghazi AlHarbi</t>
  </si>
  <si>
    <t>NAIF HAMED AL MOUTAIRI</t>
  </si>
  <si>
    <t>Mesfer Dawas Alwdei</t>
  </si>
  <si>
    <t>Waleed Abdah Hakami</t>
  </si>
  <si>
    <t>Nabil Abdullah Dahman</t>
  </si>
  <si>
    <t>Abdulaziz Fahad Binjabhan</t>
  </si>
  <si>
    <t>Yasir Saytan Al Otaibi</t>
  </si>
  <si>
    <t>Safar Saud Al Baqami</t>
  </si>
  <si>
    <t>Yhya Hussein Ali</t>
  </si>
  <si>
    <t>Rami Abdullah Al Ahamdi</t>
  </si>
  <si>
    <t>Naif Fahad Al Tallaq</t>
  </si>
  <si>
    <t>Mohammed Hamed Al Shahrani</t>
  </si>
  <si>
    <t>Khaled Yahya Hantoul</t>
  </si>
  <si>
    <t>Abdulrahman Ali Alharbi</t>
  </si>
  <si>
    <t>Saif Aldin Mohammed Al Dalbahi</t>
  </si>
  <si>
    <t>Abdulaziz Ali Al turki</t>
  </si>
  <si>
    <t>Musaad Abdullatif Al Hawas</t>
  </si>
  <si>
    <t>Majed Khalid Alanazi</t>
  </si>
  <si>
    <t>Meshari Hussien Al Shammari</t>
  </si>
  <si>
    <t>Naif Faleh Alotaibi</t>
  </si>
  <si>
    <t>Saud Salman Al Faifi</t>
  </si>
  <si>
    <t>Abdulaziz Aqla Alenazi</t>
  </si>
  <si>
    <t>Mohmmed Saleh Al-Johani</t>
  </si>
  <si>
    <t>Musab Abdulaziz Al Johani</t>
  </si>
  <si>
    <t>Amwaj Faihan Al-Otaibi</t>
  </si>
  <si>
    <t>Nawaf Saud Al Jasir</t>
  </si>
  <si>
    <t>Bandar Khaled Al Mobarak</t>
  </si>
  <si>
    <t>Amer Falah Al Hujuri</t>
  </si>
  <si>
    <t>Mohammed Ahmed Harbi</t>
  </si>
  <si>
    <t>Omar Zaki Saab</t>
  </si>
  <si>
    <t>Ibrahim Mohammed Arishi</t>
  </si>
  <si>
    <t>Naif Saud Alotaibi</t>
  </si>
  <si>
    <t>Meshari Abdullah Alotaibi</t>
  </si>
  <si>
    <t>Alhemedi Fawwaz Alsubaie</t>
  </si>
  <si>
    <t>Falah Mobarak Al Qahtani</t>
  </si>
  <si>
    <t>Bader Ibrahim Al Ruqi</t>
  </si>
  <si>
    <t>Abdulsalam Redha Al Ruwaili</t>
  </si>
  <si>
    <t>OFF-Overtime</t>
  </si>
  <si>
    <t>off-overtime</t>
  </si>
  <si>
    <t>off overtime</t>
  </si>
  <si>
    <t>ABS</t>
  </si>
  <si>
    <t xml:space="preserve">Off-Overtime </t>
  </si>
  <si>
    <t>Abdul Rahman Mohsen Al Enzi</t>
  </si>
  <si>
    <t>Bandar Garziz</t>
  </si>
  <si>
    <t>Musab Hakami</t>
  </si>
  <si>
    <t>Zayed Al Subaie</t>
  </si>
  <si>
    <t>Mohammed Al - Gahtani</t>
  </si>
  <si>
    <t>Mohammed Gobran Abdali</t>
  </si>
  <si>
    <t>Othman Al Sagri</t>
  </si>
  <si>
    <t xml:space="preserve">Region </t>
  </si>
  <si>
    <t>Team</t>
  </si>
  <si>
    <t xml:space="preserve">متابعة الحضور والانصراف </t>
  </si>
  <si>
    <t>SICK : onTime</t>
  </si>
  <si>
    <t>Raed Ghanem Anazi</t>
  </si>
  <si>
    <t>Rakan Yahya Al Harbi</t>
  </si>
  <si>
    <t>Region</t>
  </si>
  <si>
    <t>Muaddi Naif Alrashdi</t>
  </si>
  <si>
    <t>Mohammed Bander Al Johani</t>
  </si>
  <si>
    <t>Mohammed Abdullah Al Qahtani</t>
  </si>
  <si>
    <t>Rayan Abdullah Alselies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</si>
</sst>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rial"/>
      <family val="2"/>
      <scheme val="minor"/>
    </font>
    <font>
      <b/>
      <sz val="11"/>
      <color rgb="FFFFFFFF"/>
      <name val="Arial"/>
    </font>
    <font>
      <b/>
      <sz val="16"/>
      <name val="Arial"/>
    </font>
    <font>
      <b/>
      <sz val="11"/>
      <color rgb="FFC00000"/>
      <name val="Arial"/>
    </font>
    <font>
      <i/>
      <sz val="11"/>
      <color rgb="FF666666"/>
      <name val="Arial"/>
    </font>
    <font>
      <b/>
      <sz val="11"/>
      <color rgb="FFFFFFFF"/>
      <name val="Arial"/>
      <family val="2"/>
    </font>
    <font>
      <sz val="12"/>
      <color rgb="FF000000"/>
      <name val="Aptos"/>
      <family val="2"/>
    </font>
    <font>
      <sz val="8.25"/>
      <color rgb="FF000000"/>
      <name val="Microsoft Sans Serif"/>
      <family val="2"/>
    </font>
    <font>
      <b/>
      <sz val="20"/>
      <color rgb="FFFFFFFF"/>
      <name val="Arial"/>
      <family val="2"/>
    </font>
    <font>
      <sz val="10"/>
      <color theme="1"/>
      <name val="Arial Unicode MS"/>
    </font>
    <font>
      <sz val="8.25"/>
      <color rgb="FFFFFFFF"/>
      <name val="Microsoft Sans Serif"/>
    </font>
    <font>
      <sz val="8.25"/>
      <color rgb="FF000000"/>
      <name val="Microsoft Sans Serif"/>
    </font>
    <font>
      <sz val="10"/>
      <name val="Arial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203864"/>
      </patternFill>
    </fill>
    <fill>
      <patternFill patternType="solid">
        <fgColor rgb="FFEAF2F8"/>
      </patternFill>
    </fill>
    <fill>
      <patternFill patternType="solid">
        <fgColor rgb="FF659CCF"/>
        <bgColor rgb="FFFFFFFF"/>
      </patternFill>
    </fill>
    <fill>
      <patternFill patternType="solid">
        <fgColor rgb="FFC5CADB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F0000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/>
    <xf numFmtId="0" fontId="0" fillId="4" borderId="0" xfId="0" applyFill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5" fillId="2" borderId="0" xfId="0" applyFont="1" applyFill="1"/>
    <xf numFmtId="0" fontId="7" fillId="0" borderId="1" xfId="0" applyFont="1" applyBorder="1"/>
    <xf numFmtId="0" fontId="0" fillId="10" borderId="0" xfId="0" applyFill="1"/>
    <xf numFmtId="0" fontId="9" fillId="0" borderId="0" xfId="0" applyFont="1" applyAlignment="1">
      <alignment vertical="center"/>
    </xf>
    <xf numFmtId="0" fontId="9" fillId="11" borderId="1" xfId="0" applyFont="1" applyFill="1" applyBorder="1" applyAlignment="1">
      <alignment vertical="center"/>
    </xf>
    <xf numFmtId="0" fontId="11" fillId="6" borderId="1" xfId="0" applyFont="1" applyFill="1" applyBorder="1"/>
    <xf numFmtId="0" fontId="11" fillId="8" borderId="1" xfId="0" applyFont="1" applyFill="1" applyBorder="1"/>
    <xf numFmtId="0" fontId="12" fillId="0" borderId="1" xfId="0" applyFont="1" applyBorder="1"/>
    <xf numFmtId="0" fontId="11" fillId="9" borderId="1" xfId="0" applyFont="1" applyFill="1" applyBorder="1"/>
    <xf numFmtId="0" fontId="11" fillId="0" borderId="1" xfId="0" applyFont="1" applyBorder="1"/>
    <xf numFmtId="0" fontId="11" fillId="7" borderId="1" xfId="0" applyFont="1" applyFill="1" applyBorder="1"/>
    <xf numFmtId="0" fontId="8" fillId="3" borderId="0" xfId="0" applyFont="1" applyFill="1" applyAlignment="1">
      <alignment horizontal="center"/>
    </xf>
    <xf numFmtId="0" fontId="0" fillId="0" borderId="0" xfId="0"/>
    <xf numFmtId="0" fontId="10" fillId="5" borderId="1" xfId="0" applyFont="1" applyFill="1" applyBorder="1" applyAlignment="1">
      <alignment horizontal="left"/>
    </xf>
  </cellXfs>
  <cellStyles count="1">
    <cellStyle name="عادي" xfId="0" builtinId="0"/>
  </cellStyles>
  <dxfs count="14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C6E0B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mployeeMap" displayName="EmployeeMap" ref="A1:E75">
  <autoFilter ref="A1:E75" xr:uid="{00000000-0009-0000-0100-000001000000}"/>
  <tableColumns count="5">
    <tableColumn id="1" xr3:uid="{00000000-0010-0000-0000-000001000000}" name="Employee Name"/>
    <tableColumn id="2" xr3:uid="{00000000-0010-0000-0000-000002000000}" name="PFNumber"/>
    <tableColumn id="3" xr3:uid="{00000000-0010-0000-0000-000003000000}" name="Branch"/>
    <tableColumn id="4" xr3:uid="{00000000-0010-0000-0000-000004000000}" name="Code"/>
    <tableColumn id="5" xr3:uid="{00000000-0010-0000-0000-000005000000}" name="Manager" dataDxfId="13">
      <calculatedColumnFormula>_xlfn.XLOOKUP(D2, Branches!$B$2:$B$100, Branches!$C$2:$C$100, "غير مسند")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19"/>
  <sheetViews>
    <sheetView showGridLines="0" tabSelected="1" topLeftCell="I1" workbookViewId="0">
      <pane ySplit="10" topLeftCell="A11" activePane="bottomLeft" state="frozen"/>
      <selection pane="bottomLeft" activeCell="B3" sqref="B3"/>
    </sheetView>
  </sheetViews>
  <sheetFormatPr defaultRowHeight="14.25"/>
  <cols>
    <col min="1" max="1" width="32" customWidth="1"/>
    <col min="2" max="2" width="22.625" customWidth="1"/>
    <col min="3" max="11" width="16" customWidth="1"/>
  </cols>
  <sheetData>
    <row r="1" spans="1:39" ht="26.25">
      <c r="A1" s="20" t="s">
        <v>439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</row>
    <row r="3" spans="1:39" ht="15">
      <c r="A3" s="9" t="s">
        <v>16</v>
      </c>
      <c r="B3" s="2" t="s">
        <v>433</v>
      </c>
      <c r="D3" s="9" t="s">
        <v>437</v>
      </c>
      <c r="E3" s="2" t="str">
        <f>_xlfn.XLOOKUP(B3, Branches!$C$2:$C$100, Branches!$A$2:$A$100, "اختر المدير")</f>
        <v>Central</v>
      </c>
      <c r="G3" s="1"/>
    </row>
    <row r="4" spans="1:39">
      <c r="G4" s="12"/>
    </row>
    <row r="5" spans="1:39" ht="20.25">
      <c r="A5" s="9" t="s">
        <v>438</v>
      </c>
      <c r="B5" s="3"/>
      <c r="D5" s="1" t="s">
        <v>0</v>
      </c>
      <c r="E5" s="3"/>
      <c r="G5" s="1" t="s">
        <v>1</v>
      </c>
      <c r="H5" s="3"/>
    </row>
    <row r="6" spans="1:39">
      <c r="A6">
        <f>COUNTIF(Raw_Attendance!$AZ$2:$AZ$400, $B$3)</f>
        <v>3</v>
      </c>
      <c r="D6" cm="1">
        <f t="array" ref="D6">SUMPRODUCT((Raw_Attendance!$AL$2:$AL$1000=$B$3)*(ISNUMBER(SEARCH("onTime", Raw_Attendance!$F$2:$AK$1000))))</f>
        <v>1093</v>
      </c>
      <c r="G6" cm="1">
        <f t="array" ref="G6">SUMPRODUCT((Raw_Attendance!$AL$2:$AL$1000=$B$3)*(ISNUMBER(SEARCH("DELAY", Raw_Attendance!$F$2:$AK$1000))))</f>
        <v>472</v>
      </c>
    </row>
    <row r="7" spans="1:39" ht="20.25">
      <c r="A7" s="1" t="s">
        <v>2</v>
      </c>
      <c r="B7" s="3"/>
      <c r="D7" s="1" t="s">
        <v>3</v>
      </c>
      <c r="E7" s="3"/>
      <c r="G7" s="1"/>
      <c r="H7" s="3"/>
    </row>
    <row r="8" spans="1:39" ht="15">
      <c r="A8" s="4" cm="1">
        <f t="array" ref="A8">SUMPRODUCT((Raw_Attendance!$AL$2:$AL$1000=$B$3)*(ISNUMBER(SEARCH("ABS", Raw_Attendance!$F$2:$AK$1000))))</f>
        <v>87</v>
      </c>
      <c r="B8" s="5"/>
      <c r="D8" t="e" cm="1">
        <f t="array" ref="D8">SUMPRODUCT((Raw_Attendance!$AZ$2:$AZ$350=$B$3)*(ISNUMBER(SEARCH("OverTime", Raw_Attendance!$F$310:$M$350))))</f>
        <v>#N/A</v>
      </c>
      <c r="F8" s="13">
        <f>Raw_Attendance!F1</f>
        <v>1</v>
      </c>
      <c r="G8" s="13">
        <f>Raw_Attendance!G1</f>
        <v>2</v>
      </c>
      <c r="H8" s="13">
        <f>Raw_Attendance!H1</f>
        <v>3</v>
      </c>
      <c r="I8" s="13">
        <f>Raw_Attendance!I1</f>
        <v>4</v>
      </c>
      <c r="J8" s="13">
        <f>Raw_Attendance!J1</f>
        <v>5</v>
      </c>
      <c r="K8" s="13">
        <f>Raw_Attendance!K1</f>
        <v>6</v>
      </c>
      <c r="L8" s="13">
        <f>Raw_Attendance!L1</f>
        <v>7</v>
      </c>
      <c r="M8" s="13">
        <f>Raw_Attendance!M1</f>
        <v>8</v>
      </c>
      <c r="N8" s="13">
        <f>Raw_Attendance!N1</f>
        <v>9</v>
      </c>
      <c r="O8" s="13">
        <f>Raw_Attendance!O1</f>
        <v>10</v>
      </c>
      <c r="P8" s="13">
        <f>Raw_Attendance!P1</f>
        <v>11</v>
      </c>
      <c r="Q8" s="13">
        <f>Raw_Attendance!Q1</f>
        <v>12</v>
      </c>
      <c r="R8" s="13">
        <f>Raw_Attendance!R1</f>
        <v>13</v>
      </c>
      <c r="S8" s="13">
        <f>Raw_Attendance!S1</f>
        <v>14</v>
      </c>
      <c r="T8" s="13">
        <f>Raw_Attendance!T1</f>
        <v>15</v>
      </c>
      <c r="U8" s="13">
        <f>Raw_Attendance!U1</f>
        <v>16</v>
      </c>
      <c r="V8" s="13">
        <f>Raw_Attendance!V1</f>
        <v>17</v>
      </c>
      <c r="W8" s="13">
        <f>Raw_Attendance!W1</f>
        <v>18</v>
      </c>
      <c r="X8" s="13">
        <f>Raw_Attendance!X1</f>
        <v>19</v>
      </c>
      <c r="Y8" s="13">
        <f>Raw_Attendance!Y1</f>
        <v>20</v>
      </c>
      <c r="Z8" s="13">
        <f>Raw_Attendance!Z1</f>
        <v>21</v>
      </c>
      <c r="AA8" s="13">
        <f>Raw_Attendance!AA1</f>
        <v>0</v>
      </c>
      <c r="AB8" s="13">
        <f>Raw_Attendance!AB1</f>
        <v>0</v>
      </c>
      <c r="AC8" s="13">
        <f>Raw_Attendance!AC1</f>
        <v>0</v>
      </c>
      <c r="AD8" s="13">
        <f>Raw_Attendance!AD1</f>
        <v>0</v>
      </c>
      <c r="AE8" s="13">
        <f>Raw_Attendance!AE1</f>
        <v>0</v>
      </c>
      <c r="AF8" s="13">
        <f>Raw_Attendance!AF1</f>
        <v>0</v>
      </c>
      <c r="AG8" s="13">
        <f>Raw_Attendance!AG1</f>
        <v>0</v>
      </c>
      <c r="AH8" s="13">
        <f>Raw_Attendance!AH1</f>
        <v>0</v>
      </c>
      <c r="AI8" s="13">
        <f>Raw_Attendance!AI1</f>
        <v>0</v>
      </c>
      <c r="AJ8" s="13">
        <f>Raw_Attendance!AJ1</f>
        <v>0</v>
      </c>
      <c r="AK8" s="13">
        <f>Raw_Attendance!AK1</f>
        <v>0</v>
      </c>
      <c r="AL8" s="13" t="str">
        <f>Raw_Attendance!AL1</f>
        <v>Manager</v>
      </c>
      <c r="AM8" s="13">
        <f>Raw_Attendance!AM1</f>
        <v>0</v>
      </c>
    </row>
    <row r="9" spans="1:39">
      <c r="A9" t="str" cm="1">
        <f t="array" ref="A9:AK119">IFERROR(_xlfn._xlws.FILTER(Raw_Attendance!A2:AK1000, Raw_Attendance!AL2:AL1000 = B3, "لا توجد بيانات"), "اختر المدير")</f>
        <v>Naif Marzouq Al rawq</v>
      </c>
      <c r="B9">
        <v>80090048</v>
      </c>
      <c r="C9">
        <v>80090048</v>
      </c>
      <c r="D9" t="str">
        <v>Central</v>
      </c>
      <c r="E9" t="str">
        <v>SAF005C</v>
      </c>
      <c r="F9" t="str">
        <v>AM : onTime</v>
      </c>
      <c r="G9" t="str">
        <v>AM : onTime</v>
      </c>
      <c r="H9" t="str">
        <v>AM : onTime</v>
      </c>
      <c r="I9" t="str">
        <v>OFF</v>
      </c>
      <c r="J9" t="str">
        <v>AM : DELAY</v>
      </c>
      <c r="K9" t="str">
        <v>AM : onTime</v>
      </c>
      <c r="L9" t="str">
        <v>AM : onTime</v>
      </c>
      <c r="M9" t="str">
        <v>AM : onTime</v>
      </c>
      <c r="N9" t="str">
        <v>AM : ABS</v>
      </c>
      <c r="O9" t="str">
        <v>AM : onTime</v>
      </c>
      <c r="P9" t="str">
        <v>OFF</v>
      </c>
      <c r="Q9" t="str">
        <v>AM : DELAY</v>
      </c>
      <c r="R9" t="str">
        <v>AM : onTime</v>
      </c>
      <c r="S9" t="str">
        <v>AM : onTime</v>
      </c>
      <c r="T9" t="str">
        <v>AM : onTime</v>
      </c>
      <c r="U9" t="str">
        <v>AM : DELAY</v>
      </c>
      <c r="V9" t="str">
        <v>AM : DELAY</v>
      </c>
      <c r="W9" t="str">
        <v>OFF</v>
      </c>
      <c r="X9" t="str">
        <v>AM : DELAY</v>
      </c>
      <c r="Y9" t="str">
        <v>AM : onTime</v>
      </c>
      <c r="Z9" t="str">
        <v>AM : onTime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</row>
    <row r="10" spans="1:39">
      <c r="A10" t="str">
        <v>Haidar Ahmed Dahal</v>
      </c>
      <c r="B10">
        <v>80127574</v>
      </c>
      <c r="C10">
        <v>80127574</v>
      </c>
      <c r="D10" t="str">
        <v>Central</v>
      </c>
      <c r="E10" t="str">
        <v>SAF013C</v>
      </c>
      <c r="F10" t="str">
        <v>PM : DELAY</v>
      </c>
      <c r="G10" t="str">
        <v>PM : DELAY</v>
      </c>
      <c r="H10" t="str">
        <v>PM : DELAY</v>
      </c>
      <c r="I10" t="str">
        <v>OFF</v>
      </c>
      <c r="J10" t="str">
        <v>AL</v>
      </c>
      <c r="K10" t="str">
        <v>PM : DELAY</v>
      </c>
      <c r="L10" t="str">
        <v>PM : DELAY</v>
      </c>
      <c r="M10" t="str">
        <v>PM : onTime</v>
      </c>
      <c r="N10" t="str">
        <v>PM : onTime</v>
      </c>
      <c r="O10" t="str">
        <v>PM : ABS</v>
      </c>
      <c r="P10" t="str">
        <v>OFF</v>
      </c>
      <c r="Q10" t="str">
        <v>PM : onTime</v>
      </c>
      <c r="R10" t="str">
        <v>PM : onTime</v>
      </c>
      <c r="S10" t="str">
        <v>PM : DELAY</v>
      </c>
      <c r="T10" t="str">
        <v>PM : DELAY</v>
      </c>
      <c r="U10" t="str">
        <v>PM : DELAY</v>
      </c>
      <c r="V10" t="str">
        <v>PM : onTime</v>
      </c>
      <c r="W10" t="str">
        <v>OFF</v>
      </c>
      <c r="X10" t="str">
        <v>PM : ABS</v>
      </c>
      <c r="Y10" t="str">
        <v>PM : DELAY</v>
      </c>
      <c r="Z10" t="str">
        <v>PM : DELAY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</row>
    <row r="11" spans="1:39">
      <c r="A11" t="str">
        <v>Nasser Mohammed Alhuwayshil</v>
      </c>
      <c r="B11">
        <v>80128943</v>
      </c>
      <c r="C11">
        <v>80128943</v>
      </c>
      <c r="D11" t="str">
        <v>Central</v>
      </c>
      <c r="E11" t="str">
        <v>SAF033C</v>
      </c>
      <c r="F11" t="str">
        <v>PM : onTime</v>
      </c>
      <c r="G11" t="str">
        <v>PM : onTime</v>
      </c>
      <c r="H11" t="str">
        <v>PM : onTime</v>
      </c>
      <c r="I11" t="str">
        <v>OFF</v>
      </c>
      <c r="J11" t="str">
        <v>PM : onTime</v>
      </c>
      <c r="K11" t="str">
        <v>PM : onTime</v>
      </c>
      <c r="L11" t="str">
        <v>PM : onTime</v>
      </c>
      <c r="M11" t="str">
        <v>PM : onTime</v>
      </c>
      <c r="N11" t="str">
        <v>PM : onTime</v>
      </c>
      <c r="O11" t="str">
        <v>PM : onTime</v>
      </c>
      <c r="P11" t="str">
        <v>OFF</v>
      </c>
      <c r="Q11" t="str">
        <v>PM : onTime</v>
      </c>
      <c r="R11" t="str">
        <v>PM : onTime</v>
      </c>
      <c r="S11" t="str">
        <v>PM : onTime</v>
      </c>
      <c r="T11" t="str">
        <v>PM : onTime</v>
      </c>
      <c r="U11" t="str">
        <v>PM : onTime</v>
      </c>
      <c r="V11" t="str">
        <v>PM : ABS</v>
      </c>
      <c r="W11" t="str">
        <v>OFF : OverTime</v>
      </c>
      <c r="X11" t="str">
        <v>PM : onTime</v>
      </c>
      <c r="Y11" t="str">
        <v>PM : onTime</v>
      </c>
      <c r="Z11" t="str">
        <v>PM : onTime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</row>
    <row r="12" spans="1:39">
      <c r="A12" t="str">
        <v>Fawaz Hamdi Al Otaibi</v>
      </c>
      <c r="B12">
        <v>80107450</v>
      </c>
      <c r="C12">
        <v>80107450</v>
      </c>
      <c r="D12" t="str">
        <v>Central</v>
      </c>
      <c r="E12" t="str">
        <v>SAF021C</v>
      </c>
      <c r="F12" t="str">
        <v>PM : onTime</v>
      </c>
      <c r="G12" t="str">
        <v>PM : onTime</v>
      </c>
      <c r="H12" t="str">
        <v>PM : onTime</v>
      </c>
      <c r="I12" t="str">
        <v>PM : onTime</v>
      </c>
      <c r="J12" t="str">
        <v>OFF</v>
      </c>
      <c r="K12" t="str">
        <v>PM : onTime</v>
      </c>
      <c r="L12" t="str">
        <v>PM : DELAY</v>
      </c>
      <c r="M12" t="str">
        <v>PM : onTime</v>
      </c>
      <c r="N12" t="str">
        <v>PM : onTime</v>
      </c>
      <c r="O12" t="str">
        <v>PM : ABS</v>
      </c>
      <c r="P12" t="str">
        <v>PM : onTime</v>
      </c>
      <c r="Q12" t="str">
        <v>OFF</v>
      </c>
      <c r="R12" t="str">
        <v>PM : onTime</v>
      </c>
      <c r="S12" t="str">
        <v>PM : onTime</v>
      </c>
      <c r="T12" t="str">
        <v>PM : onTime</v>
      </c>
      <c r="U12" t="str">
        <v>AM : onTime</v>
      </c>
      <c r="V12" t="str">
        <v>PM : onTime</v>
      </c>
      <c r="W12" t="str">
        <v>OFF</v>
      </c>
      <c r="X12" t="str">
        <v>PM : onTime</v>
      </c>
      <c r="Y12" t="str">
        <v>AM : onTime</v>
      </c>
      <c r="Z12" t="str">
        <v>AM : onTime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</row>
    <row r="13" spans="1:39">
      <c r="A13" t="str">
        <v>Abdulaziz Abdullaha Alshehri</v>
      </c>
      <c r="B13">
        <v>80126642</v>
      </c>
      <c r="C13">
        <v>80126642</v>
      </c>
      <c r="D13" t="str">
        <v>Central</v>
      </c>
      <c r="E13" t="str">
        <v>SAF030C</v>
      </c>
      <c r="F13" t="str">
        <v>AL : OverTime</v>
      </c>
      <c r="G13" t="str">
        <v>PM : DELAY</v>
      </c>
      <c r="H13" t="str">
        <v>OFF</v>
      </c>
      <c r="I13" t="str">
        <v>PM : DELAY</v>
      </c>
      <c r="J13" t="str">
        <v>PM : onTime</v>
      </c>
      <c r="K13" t="str">
        <v>PM : onTime</v>
      </c>
      <c r="L13" t="str">
        <v>PM : onTime</v>
      </c>
      <c r="M13" t="str">
        <v>PM : onTime</v>
      </c>
      <c r="N13" t="str">
        <v>PM : onTime</v>
      </c>
      <c r="O13" t="str">
        <v>OFF</v>
      </c>
      <c r="P13" t="str">
        <v>PM : DELAY</v>
      </c>
      <c r="Q13" t="str">
        <v>PM : DELAY</v>
      </c>
      <c r="R13" t="str">
        <v>PM : DELAY</v>
      </c>
      <c r="S13" t="str">
        <v>PM : DELAY</v>
      </c>
      <c r="T13" t="str">
        <v>PM : DELAY</v>
      </c>
      <c r="U13" t="str">
        <v>PM : onTime</v>
      </c>
      <c r="V13" t="str">
        <v>OFF</v>
      </c>
      <c r="W13" t="str">
        <v>PM : onTime</v>
      </c>
      <c r="X13" t="str">
        <v>PM : onTime</v>
      </c>
      <c r="Y13" t="str">
        <v>PM : DELAY</v>
      </c>
      <c r="Z13" t="str">
        <v>PM : onTime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</row>
    <row r="14" spans="1:39">
      <c r="A14" t="str">
        <v>Mobark Obaid Al Dowsari</v>
      </c>
      <c r="B14">
        <v>80075967</v>
      </c>
      <c r="C14">
        <v>80075967</v>
      </c>
      <c r="D14" t="str">
        <v>Central</v>
      </c>
      <c r="E14" t="str">
        <v>SAF008C</v>
      </c>
      <c r="F14" t="str">
        <v>PM : DELAY</v>
      </c>
      <c r="G14" t="str">
        <v>PM : DELAY</v>
      </c>
      <c r="H14" t="str">
        <v>PM : onTime</v>
      </c>
      <c r="I14" t="str">
        <v>OFF</v>
      </c>
      <c r="J14" t="str">
        <v>PM : onTime</v>
      </c>
      <c r="K14" t="str">
        <v>PM : onTime</v>
      </c>
      <c r="L14" t="str">
        <v>PM : onTime</v>
      </c>
      <c r="M14" t="str">
        <v>PM : onTime</v>
      </c>
      <c r="N14" t="str">
        <v>PM : onTime</v>
      </c>
      <c r="O14" t="str">
        <v>PM : onTime</v>
      </c>
      <c r="P14" t="str">
        <v>OFF</v>
      </c>
      <c r="Q14" t="str">
        <v>PM : onTime</v>
      </c>
      <c r="R14" t="str">
        <v>PM : onTime</v>
      </c>
      <c r="S14" t="str">
        <v>PM : onTime</v>
      </c>
      <c r="T14" t="str">
        <v>PM : onTime</v>
      </c>
      <c r="U14" t="str">
        <v>PM : onTime</v>
      </c>
      <c r="V14" t="str">
        <v>PM : onTime</v>
      </c>
      <c r="W14" t="str">
        <v>PM : onTime</v>
      </c>
      <c r="X14" t="str">
        <v>OFF</v>
      </c>
      <c r="Y14" t="str">
        <v>PM : DELAY</v>
      </c>
      <c r="Z14" t="str">
        <v>PM : onTime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</row>
    <row r="15" spans="1:39">
      <c r="A15" t="str">
        <v>Fahad Sahmi Al Subaie</v>
      </c>
      <c r="B15">
        <v>80122890</v>
      </c>
      <c r="C15">
        <v>80122890</v>
      </c>
      <c r="D15" t="str">
        <v>Central</v>
      </c>
      <c r="E15" t="str">
        <v>SAF030C</v>
      </c>
      <c r="F15" t="str">
        <v>PM : DELAY</v>
      </c>
      <c r="G15" t="str">
        <v>PM : onTime</v>
      </c>
      <c r="H15" t="str">
        <v>PM : onTime</v>
      </c>
      <c r="I15" t="str">
        <v>OFF</v>
      </c>
      <c r="J15" t="str">
        <v>PM : onTime</v>
      </c>
      <c r="K15" t="str">
        <v>AL</v>
      </c>
      <c r="L15" t="str">
        <v>AL</v>
      </c>
      <c r="M15" t="str">
        <v>AL</v>
      </c>
      <c r="N15" t="str">
        <v>AL</v>
      </c>
      <c r="O15" t="str">
        <v>AL</v>
      </c>
      <c r="P15" t="str">
        <v>AL</v>
      </c>
      <c r="Q15" t="str">
        <v>AL</v>
      </c>
      <c r="R15" t="str">
        <v>AL</v>
      </c>
      <c r="S15" t="str">
        <v>AL</v>
      </c>
      <c r="T15" t="str">
        <v>AL</v>
      </c>
      <c r="U15" t="str">
        <v>AL</v>
      </c>
      <c r="V15" t="str">
        <v>AL</v>
      </c>
      <c r="W15" t="str">
        <v>OFF</v>
      </c>
      <c r="X15" t="str">
        <v>PM : onTime</v>
      </c>
      <c r="Y15" t="str">
        <v>PM : onTime</v>
      </c>
      <c r="Z15" t="str">
        <v>PM : DELAY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</row>
    <row r="16" spans="1:39">
      <c r="A16" t="str">
        <v>Yousef Musaad Alyousef</v>
      </c>
      <c r="B16">
        <v>80127720</v>
      </c>
      <c r="C16">
        <v>80127720</v>
      </c>
      <c r="D16" t="str">
        <v>Central</v>
      </c>
      <c r="E16" t="str">
        <v>SAF033C</v>
      </c>
      <c r="F16" t="str">
        <v>PM : onTime</v>
      </c>
      <c r="G16" t="str">
        <v>PM : onTime</v>
      </c>
      <c r="H16" t="str">
        <v>OFF</v>
      </c>
      <c r="I16" t="str">
        <v>PM : onTime</v>
      </c>
      <c r="J16" t="str">
        <v>PM : onTime</v>
      </c>
      <c r="K16" t="str">
        <v>PM : DELAY</v>
      </c>
      <c r="L16" t="str">
        <v>PM : DELAY</v>
      </c>
      <c r="M16" t="str">
        <v>PM : DELAY</v>
      </c>
      <c r="N16" t="str">
        <v>PM : DELAY</v>
      </c>
      <c r="O16" t="str">
        <v>OFF</v>
      </c>
      <c r="P16" t="str">
        <v>PM : DELAY</v>
      </c>
      <c r="Q16" t="str">
        <v>PM : DELAY</v>
      </c>
      <c r="R16" t="str">
        <v>PM : ABS</v>
      </c>
      <c r="S16" t="str">
        <v>PM : onTime</v>
      </c>
      <c r="T16" t="str">
        <v>PM : onTime</v>
      </c>
      <c r="U16" t="str">
        <v>PM : onTime</v>
      </c>
      <c r="V16" t="str">
        <v>OFF : OverTime</v>
      </c>
      <c r="W16" t="str">
        <v>PM : ABS</v>
      </c>
      <c r="X16" t="str">
        <v>PM : onTime</v>
      </c>
      <c r="Y16" t="str">
        <v>PM : onTime</v>
      </c>
      <c r="Z16" t="str">
        <v>PM : onTime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>
      <c r="A17" t="str">
        <v>Abdulelah rashoud Bin Rshoud</v>
      </c>
      <c r="B17">
        <v>80093079</v>
      </c>
      <c r="C17">
        <v>80093079</v>
      </c>
      <c r="D17" t="str">
        <v>Central</v>
      </c>
      <c r="E17" t="str">
        <v>SAF013C</v>
      </c>
      <c r="F17" t="str">
        <v>AM : DELAY</v>
      </c>
      <c r="G17" t="str">
        <v>AM : onTime</v>
      </c>
      <c r="H17" t="str">
        <v>AM : onTime</v>
      </c>
      <c r="I17" t="str">
        <v>OFF</v>
      </c>
      <c r="J17" t="str">
        <v>AM : onTime</v>
      </c>
      <c r="K17" t="str">
        <v>AM : onTime</v>
      </c>
      <c r="L17" t="str">
        <v>AM : onTime</v>
      </c>
      <c r="M17" t="str">
        <v>AM : onTime</v>
      </c>
      <c r="N17" t="str">
        <v>AM : DELAY</v>
      </c>
      <c r="O17" t="str">
        <v>AM : onTime</v>
      </c>
      <c r="P17" t="str">
        <v>OFF</v>
      </c>
      <c r="Q17" t="str">
        <v>AM : onTime</v>
      </c>
      <c r="R17" t="str">
        <v>AM : onTime</v>
      </c>
      <c r="S17" t="str">
        <v>AM : onTime</v>
      </c>
      <c r="T17" t="str">
        <v>AM : onTime</v>
      </c>
      <c r="U17" t="str">
        <v>AM : onTime</v>
      </c>
      <c r="V17" t="str">
        <v>AM : onTime</v>
      </c>
      <c r="W17" t="str">
        <v>OFF</v>
      </c>
      <c r="X17" t="str">
        <v>AM : onTime</v>
      </c>
      <c r="Y17" t="str">
        <v>AM : onTime</v>
      </c>
      <c r="Z17" t="str">
        <v>AM : DELAY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>
      <c r="A18" t="str">
        <v>Abdulrahman Dhahi Al Harbi</v>
      </c>
      <c r="B18">
        <v>80123620</v>
      </c>
      <c r="C18">
        <v>80123620</v>
      </c>
      <c r="D18" t="str">
        <v>Central</v>
      </c>
      <c r="E18" t="str">
        <v>SAF029C</v>
      </c>
      <c r="F18" t="str">
        <v>AL</v>
      </c>
      <c r="G18" t="str">
        <v>PM : onTime</v>
      </c>
      <c r="H18" t="str">
        <v>PM : onTime</v>
      </c>
      <c r="I18" t="str">
        <v>PM : onTime</v>
      </c>
      <c r="J18" t="str">
        <v>OFF</v>
      </c>
      <c r="K18" t="str">
        <v>PM : onTime</v>
      </c>
      <c r="L18" t="str">
        <v>PM : onTime</v>
      </c>
      <c r="M18" t="str">
        <v>PM : onTime</v>
      </c>
      <c r="N18" t="str">
        <v>PM : onTime</v>
      </c>
      <c r="O18" t="str">
        <v>PM : ABS</v>
      </c>
      <c r="P18" t="str">
        <v>PM : onTime</v>
      </c>
      <c r="Q18" t="str">
        <v>OFF</v>
      </c>
      <c r="R18" t="str">
        <v>PM : onTime</v>
      </c>
      <c r="S18" t="str">
        <v>PM : onTime</v>
      </c>
      <c r="T18" t="str">
        <v>PM : onTime</v>
      </c>
      <c r="U18" t="str">
        <v>PM : onTime</v>
      </c>
      <c r="V18" t="str">
        <v>PM : onTime</v>
      </c>
      <c r="W18" t="str">
        <v>PM : onTime</v>
      </c>
      <c r="X18" t="str">
        <v>OFF</v>
      </c>
      <c r="Y18" t="str">
        <v>PM : onTime</v>
      </c>
      <c r="Z18" t="str">
        <v>PM : onTime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</row>
    <row r="19" spans="1:37">
      <c r="A19" t="str">
        <v>Abdulkareem Ibraheem ALHawai</v>
      </c>
      <c r="B19">
        <v>80070943</v>
      </c>
      <c r="C19">
        <v>80070943</v>
      </c>
      <c r="D19" t="str">
        <v>Central</v>
      </c>
      <c r="E19" t="str">
        <v>SAF025C</v>
      </c>
      <c r="F19" t="str">
        <v>PM : DELAY</v>
      </c>
      <c r="G19" t="str">
        <v>PM : DELAY</v>
      </c>
      <c r="H19" t="str">
        <v>PM : DELAY</v>
      </c>
      <c r="I19" t="str">
        <v>OFF</v>
      </c>
      <c r="J19" t="str">
        <v>PM : onTime</v>
      </c>
      <c r="K19" t="str">
        <v>PM : DELAY</v>
      </c>
      <c r="L19" t="str">
        <v>PM : DELAY</v>
      </c>
      <c r="M19" t="str">
        <v>PM : DELAY</v>
      </c>
      <c r="N19" t="str">
        <v>PM : DELAY</v>
      </c>
      <c r="O19" t="str">
        <v>PM : onTime</v>
      </c>
      <c r="P19" t="str">
        <v>OFF</v>
      </c>
      <c r="Q19" t="str">
        <v>PM : DELAY</v>
      </c>
      <c r="R19" t="str">
        <v>PM : DELAY</v>
      </c>
      <c r="S19" t="str">
        <v>PM : DELAY</v>
      </c>
      <c r="T19" t="str">
        <v>PM : DELAY</v>
      </c>
      <c r="U19" t="str">
        <v>PM : DELAY</v>
      </c>
      <c r="V19" t="str">
        <v>PM : DELAY</v>
      </c>
      <c r="W19" t="str">
        <v>OFF</v>
      </c>
      <c r="X19" t="str">
        <v>PM : DELAY</v>
      </c>
      <c r="Y19" t="str">
        <v>PM : DELAY</v>
      </c>
      <c r="Z19" t="str">
        <v>PM : DELAY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>
      <c r="A20" t="str">
        <v>Bader Mohammed Al Otaibi</v>
      </c>
      <c r="B20">
        <v>80123550</v>
      </c>
      <c r="C20">
        <v>80123550</v>
      </c>
      <c r="D20" t="str">
        <v>Central</v>
      </c>
      <c r="E20" t="str">
        <v>SAF017C</v>
      </c>
      <c r="F20" t="str">
        <v>PM : onTime</v>
      </c>
      <c r="G20" t="str">
        <v>PM : onTime</v>
      </c>
      <c r="H20" t="str">
        <v>PM : onTime</v>
      </c>
      <c r="I20" t="str">
        <v>PM : onTime</v>
      </c>
      <c r="J20" t="str">
        <v>OFF : OverTime</v>
      </c>
      <c r="K20" t="str">
        <v>AM : onTime</v>
      </c>
      <c r="L20" t="str">
        <v>AM : onTime</v>
      </c>
      <c r="M20" t="str">
        <v>AM : onTime</v>
      </c>
      <c r="N20" t="str">
        <v>AM : DELAY</v>
      </c>
      <c r="O20" t="str">
        <v>PM : ABS</v>
      </c>
      <c r="P20" t="str">
        <v>PM : onTime</v>
      </c>
      <c r="Q20" t="str">
        <v>OFF : OverTime</v>
      </c>
      <c r="R20" t="str">
        <v>AM : onTime</v>
      </c>
      <c r="S20" t="str">
        <v>AM : onTime</v>
      </c>
      <c r="T20" t="str">
        <v>AM : onTime</v>
      </c>
      <c r="U20" t="str">
        <v>PM : onTime</v>
      </c>
      <c r="V20" t="str">
        <v>PM : onTime</v>
      </c>
      <c r="W20" t="str">
        <v>PM : onTime</v>
      </c>
      <c r="X20" t="str">
        <v>OFF</v>
      </c>
      <c r="Y20" t="str">
        <v>PM : onTime</v>
      </c>
      <c r="Z20" t="str">
        <v>PM : onTime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>
      <c r="A21" t="str">
        <v>Wael Fraih Alanazi</v>
      </c>
      <c r="B21">
        <v>80128294</v>
      </c>
      <c r="C21">
        <v>80128294</v>
      </c>
      <c r="D21" t="str">
        <v>Central</v>
      </c>
      <c r="E21" t="str">
        <v>SAF013C</v>
      </c>
      <c r="F21" t="str">
        <v>PM : DELAY</v>
      </c>
      <c r="G21" t="str">
        <v>PM : onTime</v>
      </c>
      <c r="H21" t="str">
        <v>OFF</v>
      </c>
      <c r="I21" t="str">
        <v>PM : onTime</v>
      </c>
      <c r="J21" t="str">
        <v>PM : onTime</v>
      </c>
      <c r="K21" t="str">
        <v>PM : onTime</v>
      </c>
      <c r="L21" t="str">
        <v>PM : onTime</v>
      </c>
      <c r="M21" t="str">
        <v>PM : onTime</v>
      </c>
      <c r="N21" t="str">
        <v>OFF</v>
      </c>
      <c r="O21" t="str">
        <v>OFF</v>
      </c>
      <c r="P21" t="str">
        <v>PM : onTime</v>
      </c>
      <c r="Q21" t="str">
        <v>PM : onTime</v>
      </c>
      <c r="R21" t="str">
        <v>PM : onTime</v>
      </c>
      <c r="S21" t="str">
        <v>PM : onTime</v>
      </c>
      <c r="T21" t="str">
        <v>PM : DELAY</v>
      </c>
      <c r="U21" t="str">
        <v>PM : onTime</v>
      </c>
      <c r="V21" t="str">
        <v>OFF</v>
      </c>
      <c r="W21" t="str">
        <v>PM : onTime</v>
      </c>
      <c r="X21" t="str">
        <v>PM : onTime</v>
      </c>
      <c r="Y21" t="str">
        <v>PM : onTime</v>
      </c>
      <c r="Z21" t="str">
        <v>PM : onTime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>
      <c r="A22" t="str">
        <v>ABDULAZIZ  SAAD   BEN  ASFOR</v>
      </c>
      <c r="B22">
        <v>80129936</v>
      </c>
      <c r="C22">
        <v>80129936</v>
      </c>
      <c r="D22" t="str">
        <v>Central</v>
      </c>
      <c r="E22" t="str">
        <v>SAF037C</v>
      </c>
      <c r="F22" t="str">
        <v>AL</v>
      </c>
      <c r="G22" t="str">
        <v>AL</v>
      </c>
      <c r="H22" t="str">
        <v>AL</v>
      </c>
      <c r="I22" t="str">
        <v>AL</v>
      </c>
      <c r="J22" t="str">
        <v>AL</v>
      </c>
      <c r="K22" t="str">
        <v>AL</v>
      </c>
      <c r="L22" t="str">
        <v>AL</v>
      </c>
      <c r="M22" t="str">
        <v>AL</v>
      </c>
      <c r="N22" t="str">
        <v>AL</v>
      </c>
      <c r="O22" t="str">
        <v>AL</v>
      </c>
      <c r="P22" t="str">
        <v>AL</v>
      </c>
      <c r="Q22" t="str">
        <v>AL</v>
      </c>
      <c r="R22" t="str">
        <v>AL</v>
      </c>
      <c r="S22" t="str">
        <v>AL</v>
      </c>
      <c r="T22" t="str">
        <v>AL</v>
      </c>
      <c r="U22" t="str">
        <v>AM : ABS</v>
      </c>
      <c r="V22" t="str">
        <v>AM : ABS</v>
      </c>
      <c r="W22" t="str">
        <v>PM : ABS</v>
      </c>
      <c r="X22" t="str">
        <v>OFF</v>
      </c>
      <c r="Y22" t="str">
        <v>AM : ABS</v>
      </c>
      <c r="Z22" t="str">
        <v>AM : ABS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>
      <c r="A23" t="str">
        <v>Abdulaziz Fahad Al Quraini</v>
      </c>
      <c r="B23">
        <v>80118270</v>
      </c>
      <c r="C23">
        <v>80118270</v>
      </c>
      <c r="D23" t="str">
        <v>Central</v>
      </c>
      <c r="E23" t="str">
        <v>SAF027C</v>
      </c>
      <c r="F23" t="str">
        <v>SICK</v>
      </c>
      <c r="G23" t="str">
        <v>PM : onTime</v>
      </c>
      <c r="H23" t="str">
        <v>PM : onTime</v>
      </c>
      <c r="I23" t="str">
        <v>PM : onTime</v>
      </c>
      <c r="J23" t="str">
        <v>OFF</v>
      </c>
      <c r="K23" t="str">
        <v>PM : onTime</v>
      </c>
      <c r="L23" t="str">
        <v>PM : onTime</v>
      </c>
      <c r="M23" t="str">
        <v>AL</v>
      </c>
      <c r="N23" t="str">
        <v>AL</v>
      </c>
      <c r="O23" t="str">
        <v>AL</v>
      </c>
      <c r="P23" t="str">
        <v>PM : onTime</v>
      </c>
      <c r="Q23" t="str">
        <v>OFF</v>
      </c>
      <c r="R23" t="str">
        <v>SICK : onTime</v>
      </c>
      <c r="S23" t="str">
        <v>PM : onTime</v>
      </c>
      <c r="T23" t="str">
        <v>PM : onTime</v>
      </c>
      <c r="U23" t="str">
        <v>PM : onTime</v>
      </c>
      <c r="V23" t="str">
        <v>PM : onTime</v>
      </c>
      <c r="W23" t="str">
        <v>PM : onTime</v>
      </c>
      <c r="X23" t="str">
        <v>OFF</v>
      </c>
      <c r="Y23" t="str">
        <v>AL</v>
      </c>
      <c r="Z23" t="str">
        <v>PM : onTime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>
      <c r="A24" t="str">
        <v>Faris Bander Almutairi</v>
      </c>
      <c r="B24">
        <v>80126088</v>
      </c>
      <c r="C24">
        <v>80126088</v>
      </c>
      <c r="D24" t="str">
        <v>Central</v>
      </c>
      <c r="E24" t="str">
        <v>SAF011C</v>
      </c>
      <c r="F24" t="str">
        <v>PM : onTime</v>
      </c>
      <c r="G24" t="str">
        <v>PM : ABS</v>
      </c>
      <c r="H24" t="str">
        <v>OFF</v>
      </c>
      <c r="I24" t="str">
        <v>PM : DELAY</v>
      </c>
      <c r="J24" t="str">
        <v>PM : DELAY</v>
      </c>
      <c r="K24" t="str">
        <v>PM : DELAY</v>
      </c>
      <c r="L24" t="str">
        <v>PM : DELAY</v>
      </c>
      <c r="M24" t="str">
        <v>PM : onTime</v>
      </c>
      <c r="N24" t="str">
        <v>PM : DELAY</v>
      </c>
      <c r="O24" t="str">
        <v>OFF</v>
      </c>
      <c r="P24" t="str">
        <v>PM : ABS</v>
      </c>
      <c r="Q24" t="str">
        <v>PM : DELAY</v>
      </c>
      <c r="R24" t="str">
        <v>PM : DELAY</v>
      </c>
      <c r="S24" t="str">
        <v>PM : onTime</v>
      </c>
      <c r="T24" t="str">
        <v>PM : onTime</v>
      </c>
      <c r="U24" t="str">
        <v>PM : onTime</v>
      </c>
      <c r="V24" t="str">
        <v>OFF : OverTime</v>
      </c>
      <c r="W24" t="str">
        <v>PM : onTime</v>
      </c>
      <c r="X24" t="str">
        <v>PM : onTime</v>
      </c>
      <c r="Y24" t="str">
        <v>PM : DELAY</v>
      </c>
      <c r="Z24" t="str">
        <v>PM : onTime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>
      <c r="A25" t="str">
        <v>Naif Mohammed Al Subaie</v>
      </c>
      <c r="B25">
        <v>80100726</v>
      </c>
      <c r="C25">
        <v>80100726</v>
      </c>
      <c r="D25" t="str">
        <v>Central</v>
      </c>
      <c r="E25" t="str">
        <v>SAF035C</v>
      </c>
      <c r="F25" t="str">
        <v>AL</v>
      </c>
      <c r="G25" t="str">
        <v>PM : DELAY</v>
      </c>
      <c r="H25" t="str">
        <v>OFF</v>
      </c>
      <c r="I25" t="str">
        <v>PM : onTime</v>
      </c>
      <c r="J25" t="str">
        <v>PM : onTime</v>
      </c>
      <c r="K25" t="str">
        <v>PM : DELAY</v>
      </c>
      <c r="L25" t="str">
        <v>AL</v>
      </c>
      <c r="M25" t="str">
        <v>PM : DELAY</v>
      </c>
      <c r="N25" t="str">
        <v>PM : DELAY</v>
      </c>
      <c r="O25" t="str">
        <v>OFF</v>
      </c>
      <c r="P25" t="str">
        <v>PM : onTime</v>
      </c>
      <c r="Q25" t="str">
        <v>PM : onTime</v>
      </c>
      <c r="R25" t="str">
        <v>PM : onTime</v>
      </c>
      <c r="S25" t="str">
        <v>PM : onTime</v>
      </c>
      <c r="T25" t="str">
        <v>PM : onTime</v>
      </c>
      <c r="U25" t="str">
        <v>AM : DELAY</v>
      </c>
      <c r="V25" t="str">
        <v>AM : onTime</v>
      </c>
      <c r="W25" t="str">
        <v>OFF</v>
      </c>
      <c r="X25" t="str">
        <v>AM : onTime</v>
      </c>
      <c r="Y25" t="str">
        <v>AM : DELAY</v>
      </c>
      <c r="Z25" t="str">
        <v>AM : DELAY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  <row r="26" spans="1:37">
      <c r="A26" t="str">
        <v>Rashed Badi Al Gharbi</v>
      </c>
      <c r="B26">
        <v>80121644</v>
      </c>
      <c r="C26">
        <v>80121644</v>
      </c>
      <c r="D26" t="str">
        <v>Central</v>
      </c>
      <c r="E26" t="str">
        <v>SAF027C</v>
      </c>
      <c r="F26" t="str">
        <v>PM : onTime</v>
      </c>
      <c r="G26" t="str">
        <v>PM : onTime</v>
      </c>
      <c r="H26" t="str">
        <v>AL</v>
      </c>
      <c r="I26" t="str">
        <v>OFF</v>
      </c>
      <c r="J26" t="str">
        <v>PM : onTime</v>
      </c>
      <c r="K26" t="str">
        <v>AL</v>
      </c>
      <c r="L26" t="str">
        <v>PM : onTime</v>
      </c>
      <c r="M26" t="str">
        <v>AL</v>
      </c>
      <c r="N26" t="str">
        <v>PM : onTime</v>
      </c>
      <c r="O26" t="str">
        <v>PM : ABS</v>
      </c>
      <c r="P26" t="str">
        <v>OFF</v>
      </c>
      <c r="Q26" t="str">
        <v>PM : onTime</v>
      </c>
      <c r="R26" t="str">
        <v>PM : onTime</v>
      </c>
      <c r="S26" t="str">
        <v>PM : onTime</v>
      </c>
      <c r="T26" t="str">
        <v>AL</v>
      </c>
      <c r="U26" t="str">
        <v>PM : DELAY</v>
      </c>
      <c r="V26" t="str">
        <v>PM : onTime</v>
      </c>
      <c r="W26" t="str">
        <v>OFF</v>
      </c>
      <c r="X26" t="str">
        <v>PM : onTime</v>
      </c>
      <c r="Y26" t="str">
        <v>PM : onTime</v>
      </c>
      <c r="Z26" t="str">
        <v>PM : DELAY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</row>
    <row r="27" spans="1:37">
      <c r="A27" t="str">
        <v>Fahad Ahmed Al Anazi</v>
      </c>
      <c r="B27">
        <v>80127861</v>
      </c>
      <c r="C27">
        <v>80127861</v>
      </c>
      <c r="D27" t="str">
        <v>Central</v>
      </c>
      <c r="E27" t="str">
        <v>SAF002C</v>
      </c>
      <c r="F27" t="str">
        <v>AM : DELAY</v>
      </c>
      <c r="G27" t="str">
        <v>AL</v>
      </c>
      <c r="H27" t="str">
        <v>AM : onTime</v>
      </c>
      <c r="I27" t="str">
        <v>OFF</v>
      </c>
      <c r="J27" t="str">
        <v>AM : onTime</v>
      </c>
      <c r="K27" t="str">
        <v>AM : onTime</v>
      </c>
      <c r="L27" t="str">
        <v>AM : DELAY</v>
      </c>
      <c r="M27" t="str">
        <v>AM : onTime</v>
      </c>
      <c r="N27" t="str">
        <v>AM : DELAY</v>
      </c>
      <c r="O27" t="str">
        <v>AM : onTime</v>
      </c>
      <c r="P27" t="str">
        <v>OFF</v>
      </c>
      <c r="Q27" t="str">
        <v>AM : onTime</v>
      </c>
      <c r="R27" t="str">
        <v>AL</v>
      </c>
      <c r="S27" t="str">
        <v>AM : onTime</v>
      </c>
      <c r="T27" t="str">
        <v>AM : onTime</v>
      </c>
      <c r="U27" t="str">
        <v>AM : DELAY</v>
      </c>
      <c r="V27" t="str">
        <v>AL</v>
      </c>
      <c r="W27" t="str">
        <v>OFF</v>
      </c>
      <c r="X27" t="str">
        <v>AM : DELAY</v>
      </c>
      <c r="Y27" t="str">
        <v>SICK</v>
      </c>
      <c r="Z27" t="str">
        <v>AM : onTime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</row>
    <row r="28" spans="1:37">
      <c r="A28" t="str">
        <v>Mujddil Nasser Al Dosari</v>
      </c>
      <c r="B28">
        <v>80072701</v>
      </c>
      <c r="C28">
        <v>80072701</v>
      </c>
      <c r="D28" t="str">
        <v>Central</v>
      </c>
      <c r="E28" t="str">
        <v>SAF008C</v>
      </c>
      <c r="F28" t="str">
        <v>AM : onTime</v>
      </c>
      <c r="G28" t="str">
        <v>AM : onTime</v>
      </c>
      <c r="H28" t="str">
        <v>AM : onTime</v>
      </c>
      <c r="I28" t="str">
        <v>PM : onTime</v>
      </c>
      <c r="J28" t="str">
        <v>OFF</v>
      </c>
      <c r="K28" t="str">
        <v>AM : onTime</v>
      </c>
      <c r="L28" t="str">
        <v>AM : onTime</v>
      </c>
      <c r="M28" t="str">
        <v>AM : onTime</v>
      </c>
      <c r="N28" t="str">
        <v>AM : onTime</v>
      </c>
      <c r="O28" t="str">
        <v>AM : onTime</v>
      </c>
      <c r="P28" t="str">
        <v>OFF</v>
      </c>
      <c r="Q28" t="str">
        <v>AM : onTime</v>
      </c>
      <c r="R28" t="str">
        <v>AM : onTime</v>
      </c>
      <c r="S28" t="str">
        <v>AM : onTime</v>
      </c>
      <c r="T28" t="str">
        <v>AM : onTime</v>
      </c>
      <c r="U28" t="str">
        <v>AM : onTime</v>
      </c>
      <c r="V28" t="str">
        <v>AM : onTime</v>
      </c>
      <c r="W28" t="str">
        <v>OFF</v>
      </c>
      <c r="X28" t="str">
        <v>PM : onTime</v>
      </c>
      <c r="Y28" t="str">
        <v>AM : onTime</v>
      </c>
      <c r="Z28" t="str">
        <v>AM : onTime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</row>
    <row r="29" spans="1:37">
      <c r="A29" t="str">
        <v>Mohammed Ali Bajawi</v>
      </c>
      <c r="B29">
        <v>80129761</v>
      </c>
      <c r="C29">
        <v>80129761</v>
      </c>
      <c r="D29" t="str">
        <v>Central</v>
      </c>
      <c r="E29" t="str">
        <v>SAF037C</v>
      </c>
      <c r="F29" t="str">
        <v>AL</v>
      </c>
      <c r="G29" t="str">
        <v>AL</v>
      </c>
      <c r="H29" t="str">
        <v>AL</v>
      </c>
      <c r="I29" t="str">
        <v>AL</v>
      </c>
      <c r="J29" t="str">
        <v>AL</v>
      </c>
      <c r="K29" t="str">
        <v>AL</v>
      </c>
      <c r="L29" t="str">
        <v>AL</v>
      </c>
      <c r="M29" t="str">
        <v>AL</v>
      </c>
      <c r="N29" t="str">
        <v>AL</v>
      </c>
      <c r="O29" t="str">
        <v>PM : ABS</v>
      </c>
      <c r="P29" t="str">
        <v>OFF</v>
      </c>
      <c r="Q29" t="str">
        <v>PM : onTime</v>
      </c>
      <c r="R29" t="str">
        <v>PM : onTime</v>
      </c>
      <c r="S29" t="str">
        <v>PM : DELAY</v>
      </c>
      <c r="T29" t="str">
        <v>PM : onTime</v>
      </c>
      <c r="U29" t="str">
        <v>PM : onTime</v>
      </c>
      <c r="V29" t="str">
        <v>PM : onTime</v>
      </c>
      <c r="W29" t="str">
        <v>PM : onTime</v>
      </c>
      <c r="X29" t="str">
        <v>OFF</v>
      </c>
      <c r="Y29" t="str">
        <v>PM : onTime</v>
      </c>
      <c r="Z29" t="str">
        <v>PM : onTime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</row>
    <row r="30" spans="1:37">
      <c r="A30" t="str">
        <v>Waleed Sulaiman Al Sulaiman</v>
      </c>
      <c r="B30">
        <v>80094859</v>
      </c>
      <c r="C30">
        <v>80094859</v>
      </c>
      <c r="D30" t="str">
        <v>Central</v>
      </c>
      <c r="E30" t="str">
        <v>SAF006C</v>
      </c>
      <c r="F30" t="str">
        <v>AM : onTime</v>
      </c>
      <c r="G30" t="str">
        <v>AM : onTime</v>
      </c>
      <c r="H30" t="str">
        <v>AM : onTime</v>
      </c>
      <c r="I30" t="str">
        <v>OFF</v>
      </c>
      <c r="J30" t="str">
        <v>AM : onTime</v>
      </c>
      <c r="K30" t="str">
        <v>AM : onTime</v>
      </c>
      <c r="L30" t="str">
        <v>AM : onTime</v>
      </c>
      <c r="M30" t="str">
        <v>AM : onTime</v>
      </c>
      <c r="N30" t="str">
        <v>AM : DELAY</v>
      </c>
      <c r="O30" t="str">
        <v>AM : onTime</v>
      </c>
      <c r="P30" t="str">
        <v>OFF</v>
      </c>
      <c r="Q30" t="str">
        <v>AM : onTime</v>
      </c>
      <c r="R30" t="str">
        <v>AM : onTime</v>
      </c>
      <c r="S30" t="str">
        <v>AM : onTime</v>
      </c>
      <c r="T30" t="str">
        <v>AM : onTime</v>
      </c>
      <c r="U30" t="str">
        <v>AM : onTime</v>
      </c>
      <c r="V30" t="str">
        <v>AM : onTime</v>
      </c>
      <c r="W30" t="str">
        <v>OFF</v>
      </c>
      <c r="X30" t="str">
        <v>AM : onTime</v>
      </c>
      <c r="Y30" t="str">
        <v>AM : onTime</v>
      </c>
      <c r="Z30" t="str">
        <v>AM : onTime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</row>
    <row r="31" spans="1:37">
      <c r="A31" t="str">
        <v>Abulaziz Fahad Obaid</v>
      </c>
      <c r="B31">
        <v>80119351</v>
      </c>
      <c r="C31">
        <v>80119351</v>
      </c>
      <c r="D31" t="str">
        <v>Central</v>
      </c>
      <c r="E31" t="str">
        <v>SAF033C</v>
      </c>
      <c r="F31" t="str">
        <v>AM : DELAY</v>
      </c>
      <c r="G31" t="str">
        <v>AM : onTime</v>
      </c>
      <c r="H31" t="str">
        <v>AM : onTime</v>
      </c>
      <c r="I31" t="str">
        <v>OFF</v>
      </c>
      <c r="J31" t="str">
        <v>AL</v>
      </c>
      <c r="K31" t="str">
        <v>AM : DELAY</v>
      </c>
      <c r="L31" t="str">
        <v>AM : DELAY</v>
      </c>
      <c r="M31" t="str">
        <v>AM : onTime</v>
      </c>
      <c r="N31" t="str">
        <v>AM : DELAY</v>
      </c>
      <c r="O31" t="str">
        <v>AM : onTime</v>
      </c>
      <c r="P31" t="str">
        <v>OFF</v>
      </c>
      <c r="Q31" t="str">
        <v>AM : ABS</v>
      </c>
      <c r="R31" t="str">
        <v>AM : DELAY</v>
      </c>
      <c r="S31" t="str">
        <v>AM : DELAY</v>
      </c>
      <c r="T31" t="str">
        <v>AM : DELAY</v>
      </c>
      <c r="U31" t="str">
        <v>AM : DELAY</v>
      </c>
      <c r="V31" t="str">
        <v>AM : DELAY</v>
      </c>
      <c r="W31" t="str">
        <v>OFF : OverTime</v>
      </c>
      <c r="X31" t="str">
        <v>AM : ABS</v>
      </c>
      <c r="Y31" t="str">
        <v>AM : DELAY</v>
      </c>
      <c r="Z31" t="str">
        <v>AM : DELAY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</row>
    <row r="32" spans="1:37">
      <c r="A32" t="str">
        <v>Hamoud Hammad Al Dawsari</v>
      </c>
      <c r="B32">
        <v>80127803</v>
      </c>
      <c r="C32">
        <v>80127803</v>
      </c>
      <c r="D32" t="str">
        <v>Central</v>
      </c>
      <c r="E32" t="str">
        <v>SAF019C</v>
      </c>
      <c r="F32" t="str">
        <v>AL</v>
      </c>
      <c r="G32" t="str">
        <v>AL : OverTime</v>
      </c>
      <c r="H32" t="str">
        <v>AM : onTime</v>
      </c>
      <c r="I32" t="str">
        <v>OFF</v>
      </c>
      <c r="J32" t="str">
        <v>AM : OverTime</v>
      </c>
      <c r="K32" t="str">
        <v>AM : onTime</v>
      </c>
      <c r="L32" t="str">
        <v>AM : onTime</v>
      </c>
      <c r="M32" t="str">
        <v>AM : onTime</v>
      </c>
      <c r="N32" t="str">
        <v>SICK</v>
      </c>
      <c r="O32" t="str">
        <v>AM : onTime</v>
      </c>
      <c r="P32" t="str">
        <v>OFF</v>
      </c>
      <c r="Q32" t="str">
        <v>AM : onTime</v>
      </c>
      <c r="R32" t="str">
        <v>AM : onTime</v>
      </c>
      <c r="S32" t="str">
        <v>AM : onTime</v>
      </c>
      <c r="T32" t="str">
        <v>SICK</v>
      </c>
      <c r="U32" t="str">
        <v>AM : onTime</v>
      </c>
      <c r="V32" t="str">
        <v>AM : onTime</v>
      </c>
      <c r="W32" t="str">
        <v>OFF</v>
      </c>
      <c r="X32" t="str">
        <v>AM : onTime</v>
      </c>
      <c r="Y32" t="str">
        <v>AM : onTime</v>
      </c>
      <c r="Z32" t="str">
        <v>AM : DELAY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</row>
    <row r="33" spans="1:37">
      <c r="A33" t="str">
        <v>Bandar Tariq Faqihi</v>
      </c>
      <c r="B33">
        <v>80130045</v>
      </c>
      <c r="C33">
        <v>80130045</v>
      </c>
      <c r="D33" t="str">
        <v>Central</v>
      </c>
      <c r="E33" t="str">
        <v>SAF013C</v>
      </c>
      <c r="F33" t="str">
        <v>AL</v>
      </c>
      <c r="G33" t="str">
        <v>AL</v>
      </c>
      <c r="H33" t="str">
        <v>AL</v>
      </c>
      <c r="I33" t="str">
        <v>AL</v>
      </c>
      <c r="J33" t="str">
        <v>AL</v>
      </c>
      <c r="K33" t="str">
        <v>AL</v>
      </c>
      <c r="L33" t="str">
        <v>AL</v>
      </c>
      <c r="M33" t="str">
        <v>AM : DELAY</v>
      </c>
      <c r="N33" t="str">
        <v>AM : DELAY</v>
      </c>
      <c r="O33" t="str">
        <v>AM : onTime</v>
      </c>
      <c r="P33" t="str">
        <v>OFF</v>
      </c>
      <c r="Q33" t="str">
        <v>AM : onTime</v>
      </c>
      <c r="R33" t="str">
        <v>AM : onTime</v>
      </c>
      <c r="S33" t="str">
        <v>AM : DELAY</v>
      </c>
      <c r="T33" t="str">
        <v>AM : onTime</v>
      </c>
      <c r="U33" t="str">
        <v>AM : onTime</v>
      </c>
      <c r="V33" t="str">
        <v>AM : ABS</v>
      </c>
      <c r="W33" t="str">
        <v>OFF</v>
      </c>
      <c r="X33" t="str">
        <v>AM : onTime</v>
      </c>
      <c r="Y33" t="str">
        <v>AM : DELAY</v>
      </c>
      <c r="Z33" t="str">
        <v>AM : onTime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</row>
    <row r="34" spans="1:37">
      <c r="A34" t="str">
        <v>Metrek Hasan AlBarak</v>
      </c>
      <c r="B34">
        <v>80062698</v>
      </c>
      <c r="C34">
        <v>80062698</v>
      </c>
      <c r="D34" t="str">
        <v>Central</v>
      </c>
      <c r="E34" t="str">
        <v>SAF002C</v>
      </c>
      <c r="F34" t="str">
        <v>AL</v>
      </c>
      <c r="G34" t="str">
        <v>AL</v>
      </c>
      <c r="H34" t="str">
        <v>AL</v>
      </c>
      <c r="I34" t="str">
        <v>AL</v>
      </c>
      <c r="J34" t="str">
        <v>AL</v>
      </c>
      <c r="K34" t="str">
        <v>PM : onTime</v>
      </c>
      <c r="L34" t="str">
        <v>PM : onTime</v>
      </c>
      <c r="M34" t="str">
        <v>PM : onTime</v>
      </c>
      <c r="N34" t="str">
        <v>PM : onTime</v>
      </c>
      <c r="O34" t="str">
        <v>PM : onTime</v>
      </c>
      <c r="P34" t="str">
        <v>OFF</v>
      </c>
      <c r="Q34" t="str">
        <v>AL</v>
      </c>
      <c r="R34" t="str">
        <v>PM : onTime</v>
      </c>
      <c r="S34" t="str">
        <v>PM : onTime</v>
      </c>
      <c r="T34" t="str">
        <v>PM : onTime</v>
      </c>
      <c r="U34" t="str">
        <v>PM : onTime</v>
      </c>
      <c r="V34" t="str">
        <v>PM : DELAY</v>
      </c>
      <c r="W34" t="str">
        <v>OFF</v>
      </c>
      <c r="X34" t="str">
        <v>PM : onTime</v>
      </c>
      <c r="Y34" t="str">
        <v>PM : onTime</v>
      </c>
      <c r="Z34" t="str">
        <v>PM : onTime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</row>
    <row r="35" spans="1:37">
      <c r="A35" t="str">
        <v>Mazen Mohammed Hazazi</v>
      </c>
      <c r="B35">
        <v>80125115</v>
      </c>
      <c r="C35">
        <v>80125115</v>
      </c>
      <c r="D35" t="str">
        <v>Central</v>
      </c>
      <c r="E35" t="str">
        <v>SAF018C</v>
      </c>
      <c r="F35" t="str">
        <v>AM : onTime</v>
      </c>
      <c r="G35" t="str">
        <v>AM : DELAY</v>
      </c>
      <c r="H35" t="str">
        <v>AM : onTime</v>
      </c>
      <c r="I35" t="str">
        <v>OFF</v>
      </c>
      <c r="J35" t="str">
        <v>AM : DELAY</v>
      </c>
      <c r="K35" t="str">
        <v>AM : DELAY</v>
      </c>
      <c r="L35" t="str">
        <v>AM : DELAY</v>
      </c>
      <c r="M35" t="str">
        <v>AM : DELAY</v>
      </c>
      <c r="N35" t="str">
        <v>PM : onTime</v>
      </c>
      <c r="O35" t="str">
        <v>PM : onTime</v>
      </c>
      <c r="P35" t="str">
        <v>OFF</v>
      </c>
      <c r="Q35" t="str">
        <v>AM : onTime</v>
      </c>
      <c r="R35" t="str">
        <v>AM : DELAY</v>
      </c>
      <c r="S35" t="str">
        <v>AM : DELAY</v>
      </c>
      <c r="T35" t="str">
        <v>AM : DELAY</v>
      </c>
      <c r="U35" t="str">
        <v>AM : DELAY</v>
      </c>
      <c r="V35" t="str">
        <v>AM : DELAY</v>
      </c>
      <c r="W35" t="str">
        <v>OFF</v>
      </c>
      <c r="X35" t="str">
        <v>AM : DELAY</v>
      </c>
      <c r="Y35" t="str">
        <v>AM : DELAY</v>
      </c>
      <c r="Z35" t="str">
        <v>AM : DELAY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</row>
    <row r="36" spans="1:37">
      <c r="A36" t="str">
        <v>Bader Mohammed Al Anazi</v>
      </c>
      <c r="B36">
        <v>80125803</v>
      </c>
      <c r="C36">
        <v>80125803</v>
      </c>
      <c r="D36" t="str">
        <v>Central</v>
      </c>
      <c r="E36" t="str">
        <v>SAF031C</v>
      </c>
      <c r="F36" t="str">
        <v>PM : onTime</v>
      </c>
      <c r="G36" t="str">
        <v>PM : onTime</v>
      </c>
      <c r="H36" t="str">
        <v>PM : DELAY</v>
      </c>
      <c r="I36" t="str">
        <v>AL</v>
      </c>
      <c r="J36" t="str">
        <v>OFF</v>
      </c>
      <c r="K36" t="str">
        <v>PM : onTime</v>
      </c>
      <c r="L36" t="str">
        <v>PM : DELAY</v>
      </c>
      <c r="M36" t="str">
        <v>PM : DELAY</v>
      </c>
      <c r="N36" t="str">
        <v>PM : onTime</v>
      </c>
      <c r="O36" t="str">
        <v>PM : ABS</v>
      </c>
      <c r="P36" t="str">
        <v>PM : DELAY</v>
      </c>
      <c r="Q36" t="str">
        <v>OFF</v>
      </c>
      <c r="R36" t="str">
        <v>PM : onTime</v>
      </c>
      <c r="S36" t="str">
        <v>PM : onTime</v>
      </c>
      <c r="T36" t="str">
        <v>PM : onTime</v>
      </c>
      <c r="U36" t="str">
        <v>PM : onTime</v>
      </c>
      <c r="V36" t="str">
        <v>PM : onTime</v>
      </c>
      <c r="W36" t="str">
        <v>PM : onTime</v>
      </c>
      <c r="X36" t="str">
        <v>OFF</v>
      </c>
      <c r="Y36" t="str">
        <v>PM : DELAY</v>
      </c>
      <c r="Z36" t="str">
        <v>PM : onTime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</row>
    <row r="37" spans="1:37">
      <c r="A37" t="str">
        <v>Abdullah Mohammed Al Otaibi</v>
      </c>
      <c r="B37">
        <v>80100787</v>
      </c>
      <c r="C37">
        <v>80100787</v>
      </c>
      <c r="D37" t="str">
        <v>Central</v>
      </c>
      <c r="E37" t="str">
        <v>SAF031C</v>
      </c>
      <c r="F37" t="str">
        <v>AM : DELAY</v>
      </c>
      <c r="G37" t="str">
        <v>AM : onTime</v>
      </c>
      <c r="H37" t="str">
        <v>AM : OverTime</v>
      </c>
      <c r="I37" t="str">
        <v>OFF : OverTime</v>
      </c>
      <c r="J37" t="str">
        <v>AM : DELAY</v>
      </c>
      <c r="K37" t="str">
        <v>AM : DELAY</v>
      </c>
      <c r="L37" t="str">
        <v>AM : onTime</v>
      </c>
      <c r="M37" t="str">
        <v>AM : onTime</v>
      </c>
      <c r="N37" t="str">
        <v>AM : DELAY</v>
      </c>
      <c r="O37" t="str">
        <v>AM : ABS</v>
      </c>
      <c r="P37" t="str">
        <v>OFF</v>
      </c>
      <c r="Q37" t="str">
        <v>AM : DELAY</v>
      </c>
      <c r="R37" t="str">
        <v>AM : OverTime</v>
      </c>
      <c r="S37" t="str">
        <v>AM : onTime</v>
      </c>
      <c r="T37" t="str">
        <v>AM : DELAY</v>
      </c>
      <c r="U37" t="str">
        <v>AM : OverTime</v>
      </c>
      <c r="V37" t="str">
        <v>AM : DELAY</v>
      </c>
      <c r="W37" t="str">
        <v>OFF</v>
      </c>
      <c r="X37" t="str">
        <v>AM : DELAY</v>
      </c>
      <c r="Y37" t="str">
        <v>AM : DELAY</v>
      </c>
      <c r="Z37" t="str">
        <v>AM : DELAY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</row>
    <row r="38" spans="1:37">
      <c r="A38" t="str">
        <v>Abdulrahman Abdullah Al Busayli</v>
      </c>
      <c r="B38">
        <v>80121682</v>
      </c>
      <c r="C38">
        <v>80121682</v>
      </c>
      <c r="D38" t="str">
        <v>Central</v>
      </c>
      <c r="E38" t="str">
        <v>SAF030C</v>
      </c>
      <c r="F38" t="str">
        <v>AM : onTime</v>
      </c>
      <c r="G38" t="str">
        <v>AM : onTime</v>
      </c>
      <c r="H38" t="str">
        <v>AM : onTime</v>
      </c>
      <c r="I38" t="str">
        <v>PM : onTime</v>
      </c>
      <c r="J38" t="str">
        <v>OFF</v>
      </c>
      <c r="K38" t="str">
        <v>AM : DELAY</v>
      </c>
      <c r="L38" t="str">
        <v>AM : onTime</v>
      </c>
      <c r="M38" t="str">
        <v>AM : onTime</v>
      </c>
      <c r="N38" t="str">
        <v>AM : DELAY</v>
      </c>
      <c r="O38" t="str">
        <v>AM : onTime</v>
      </c>
      <c r="P38" t="str">
        <v>OFF</v>
      </c>
      <c r="Q38" t="str">
        <v>AM : onTime</v>
      </c>
      <c r="R38" t="str">
        <v>AM : onTime</v>
      </c>
      <c r="S38" t="str">
        <v>AM : onTime</v>
      </c>
      <c r="T38" t="str">
        <v>AM : onTime</v>
      </c>
      <c r="U38" t="str">
        <v>AM : onTime</v>
      </c>
      <c r="V38" t="str">
        <v>AM : onTime</v>
      </c>
      <c r="W38" t="str">
        <v>OFF</v>
      </c>
      <c r="X38" t="str">
        <v>AM : onTime</v>
      </c>
      <c r="Y38" t="str">
        <v>AM : onTime</v>
      </c>
      <c r="Z38" t="str">
        <v>AM : onTime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</row>
    <row r="39" spans="1:37">
      <c r="A39" t="str">
        <v>Raghad Yousef Alotaibi</v>
      </c>
      <c r="B39">
        <v>80127722</v>
      </c>
      <c r="C39">
        <v>80127722</v>
      </c>
      <c r="D39" t="str">
        <v>Central</v>
      </c>
      <c r="E39" t="str">
        <v>SAF034C</v>
      </c>
      <c r="F39" t="str">
        <v>AM : DELAY</v>
      </c>
      <c r="G39" t="str">
        <v>AM : onTime</v>
      </c>
      <c r="H39" t="str">
        <v>AM : onTime</v>
      </c>
      <c r="I39" t="str">
        <v>OFF</v>
      </c>
      <c r="J39" t="str">
        <v>AL</v>
      </c>
      <c r="K39" t="str">
        <v>AM : onTime</v>
      </c>
      <c r="L39" t="str">
        <v>AM : onTime</v>
      </c>
      <c r="M39" t="str">
        <v>AM : onTime</v>
      </c>
      <c r="N39" t="str">
        <v>AM : DELAY</v>
      </c>
      <c r="O39" t="str">
        <v>OFF</v>
      </c>
      <c r="P39" t="str">
        <v>PM : onTime</v>
      </c>
      <c r="Q39" t="str">
        <v>PM : onTime</v>
      </c>
      <c r="R39" t="str">
        <v>PM : DELAY</v>
      </c>
      <c r="S39" t="str">
        <v>PM : DELAY</v>
      </c>
      <c r="T39" t="str">
        <v>PM : ABS</v>
      </c>
      <c r="U39" t="str">
        <v>PM : onTime</v>
      </c>
      <c r="V39" t="str">
        <v>OFF : OverTime</v>
      </c>
      <c r="W39" t="str">
        <v>PM : onTime</v>
      </c>
      <c r="X39" t="str">
        <v>PM : ABS</v>
      </c>
      <c r="Y39" t="str">
        <v>PM : DELAY</v>
      </c>
      <c r="Z39" t="str">
        <v>PM : onTime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</row>
    <row r="40" spans="1:37">
      <c r="A40" t="str">
        <v>Mohammed Fisal Al Subaie</v>
      </c>
      <c r="B40">
        <v>80123750</v>
      </c>
      <c r="C40">
        <v>80123750</v>
      </c>
      <c r="D40" t="str">
        <v>Central</v>
      </c>
      <c r="E40" t="str">
        <v>SAF002C</v>
      </c>
      <c r="F40" t="str">
        <v>AM : DELAY</v>
      </c>
      <c r="G40" t="str">
        <v>AM : DELAY</v>
      </c>
      <c r="H40" t="str">
        <v>AM : DELAY</v>
      </c>
      <c r="I40" t="str">
        <v>OFF</v>
      </c>
      <c r="J40" t="str">
        <v>PM : onTime</v>
      </c>
      <c r="K40" t="str">
        <v>PM : onTime</v>
      </c>
      <c r="L40" t="str">
        <v>PM : onTime</v>
      </c>
      <c r="M40" t="str">
        <v>PM : onTime</v>
      </c>
      <c r="N40" t="str">
        <v>PM : onTime</v>
      </c>
      <c r="O40" t="str">
        <v>PM : ABS</v>
      </c>
      <c r="P40" t="str">
        <v>OFF</v>
      </c>
      <c r="Q40" t="str">
        <v>PM : onTime</v>
      </c>
      <c r="R40" t="str">
        <v>PM : onTime</v>
      </c>
      <c r="S40" t="str">
        <v>AL</v>
      </c>
      <c r="T40" t="str">
        <v>AL</v>
      </c>
      <c r="U40" t="str">
        <v>AL</v>
      </c>
      <c r="V40" t="str">
        <v>AL</v>
      </c>
      <c r="W40" t="str">
        <v>AL</v>
      </c>
      <c r="X40" t="str">
        <v>AL</v>
      </c>
      <c r="Y40" t="str">
        <v>AL</v>
      </c>
      <c r="Z40" t="str">
        <v>AL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</row>
    <row r="41" spans="1:37">
      <c r="A41" t="str">
        <v>Fahd Mefreh AlOtaibi</v>
      </c>
      <c r="B41">
        <v>80002160</v>
      </c>
      <c r="C41">
        <v>80002160</v>
      </c>
      <c r="D41" t="str">
        <v>Central</v>
      </c>
      <c r="E41" t="str">
        <v>SAF007C</v>
      </c>
      <c r="F41" t="str">
        <v>AM : DELAY</v>
      </c>
      <c r="G41" t="str">
        <v>AM : onTime</v>
      </c>
      <c r="H41" t="str">
        <v>AM : OverTime</v>
      </c>
      <c r="I41" t="str">
        <v>PM : onTime</v>
      </c>
      <c r="J41" t="str">
        <v>AM : onTime</v>
      </c>
      <c r="K41" t="str">
        <v>AM : onTime</v>
      </c>
      <c r="L41" t="str">
        <v>AM : onTime</v>
      </c>
      <c r="M41" t="str">
        <v>OFF</v>
      </c>
      <c r="N41" t="str">
        <v>AM : onTime</v>
      </c>
      <c r="O41" t="str">
        <v>AM : ABS</v>
      </c>
      <c r="P41" t="str">
        <v>PM : onTime</v>
      </c>
      <c r="Q41" t="str">
        <v>OFF</v>
      </c>
      <c r="R41" t="str">
        <v>AM : onTime</v>
      </c>
      <c r="S41" t="str">
        <v>AM : onTime</v>
      </c>
      <c r="T41" t="str">
        <v>AM : OverTime</v>
      </c>
      <c r="U41" t="str">
        <v>AM : onTime</v>
      </c>
      <c r="V41" t="str">
        <v>AM : DELAY</v>
      </c>
      <c r="W41" t="str">
        <v>PM : onTime</v>
      </c>
      <c r="X41" t="str">
        <v>OFF</v>
      </c>
      <c r="Y41" t="str">
        <v>AM : OverTime</v>
      </c>
      <c r="Z41" t="str">
        <v>AM : onTime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</row>
    <row r="42" spans="1:37">
      <c r="A42" t="str">
        <v>Mutlaq Abdullah Al Subaie</v>
      </c>
      <c r="B42">
        <v>80123931</v>
      </c>
      <c r="C42">
        <v>80123931</v>
      </c>
      <c r="D42" t="str">
        <v>Central</v>
      </c>
      <c r="E42" t="str">
        <v>SAF031C</v>
      </c>
      <c r="F42" t="str">
        <v>AM : onTime</v>
      </c>
      <c r="G42" t="str">
        <v>AM : onTime</v>
      </c>
      <c r="H42" t="str">
        <v>PM : onTime</v>
      </c>
      <c r="I42" t="str">
        <v>OFF</v>
      </c>
      <c r="J42" t="str">
        <v>PM : onTime</v>
      </c>
      <c r="K42" t="str">
        <v>AM : onTime</v>
      </c>
      <c r="L42" t="str">
        <v>AM : onTime</v>
      </c>
      <c r="M42" t="str">
        <v>AM : onTime</v>
      </c>
      <c r="N42" t="str">
        <v>AM : DELAY</v>
      </c>
      <c r="O42" t="str">
        <v>PM : onTime</v>
      </c>
      <c r="P42" t="str">
        <v>OFF</v>
      </c>
      <c r="Q42" t="str">
        <v>PM : onTime</v>
      </c>
      <c r="R42" t="str">
        <v>AM : onTime</v>
      </c>
      <c r="S42" t="str">
        <v>AM : onTime</v>
      </c>
      <c r="T42" t="str">
        <v>AM : onTime</v>
      </c>
      <c r="U42" t="str">
        <v>AM : onTime</v>
      </c>
      <c r="V42" t="str">
        <v>PM : onTime</v>
      </c>
      <c r="W42" t="str">
        <v>OFF</v>
      </c>
      <c r="X42" t="str">
        <v>PM : onTime</v>
      </c>
      <c r="Y42" t="str">
        <v>AM : OverTime</v>
      </c>
      <c r="Z42" t="str">
        <v>AM : onTime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</row>
    <row r="43" spans="1:37">
      <c r="A43" t="str">
        <v>Naif Fahid Al-Subaie</v>
      </c>
      <c r="B43">
        <v>80079475</v>
      </c>
      <c r="C43">
        <v>80079475</v>
      </c>
      <c r="D43" t="str">
        <v>Central</v>
      </c>
      <c r="E43" t="str">
        <v>SAF021C</v>
      </c>
      <c r="F43" t="str">
        <v>PM : onTime</v>
      </c>
      <c r="G43" t="str">
        <v>PM : onTime</v>
      </c>
      <c r="H43" t="str">
        <v>OFF</v>
      </c>
      <c r="I43" t="str">
        <v>PM : onTime</v>
      </c>
      <c r="J43" t="str">
        <v>PM : onTime</v>
      </c>
      <c r="K43" t="str">
        <v>PM : onTime</v>
      </c>
      <c r="L43" t="str">
        <v>PM : onTime</v>
      </c>
      <c r="M43" t="str">
        <v>PM : onTime</v>
      </c>
      <c r="N43" t="str">
        <v>PM : onTime</v>
      </c>
      <c r="O43" t="str">
        <v>PM : ABS</v>
      </c>
      <c r="P43" t="str">
        <v>OFF</v>
      </c>
      <c r="Q43" t="str">
        <v>PM : DELAY</v>
      </c>
      <c r="R43" t="str">
        <v>PM : DELAY</v>
      </c>
      <c r="S43" t="str">
        <v>PM : onTime</v>
      </c>
      <c r="T43" t="str">
        <v>PM : onTime</v>
      </c>
      <c r="U43" t="str">
        <v>AM : onTime</v>
      </c>
      <c r="V43" t="str">
        <v>AM : onTime</v>
      </c>
      <c r="W43" t="str">
        <v>OFF</v>
      </c>
      <c r="X43" t="str">
        <v>AM : onTime</v>
      </c>
      <c r="Y43" t="str">
        <v>AM : onTime</v>
      </c>
      <c r="Z43" t="str">
        <v>AM : onTime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</row>
    <row r="44" spans="1:37">
      <c r="A44" t="str">
        <v>Mazin Egab Al-Dalbihe</v>
      </c>
      <c r="B44">
        <v>80064519</v>
      </c>
      <c r="C44">
        <v>80064519</v>
      </c>
      <c r="D44" t="str">
        <v>Central</v>
      </c>
      <c r="E44" t="str">
        <v>SAF015C</v>
      </c>
      <c r="F44" t="str">
        <v>AM : onTime</v>
      </c>
      <c r="G44" t="str">
        <v>AM : DELAY</v>
      </c>
      <c r="H44" t="str">
        <v>AM : onTime</v>
      </c>
      <c r="I44" t="str">
        <v>OFF</v>
      </c>
      <c r="J44" t="str">
        <v>AL</v>
      </c>
      <c r="K44" t="str">
        <v>AM : onTime</v>
      </c>
      <c r="L44" t="str">
        <v>AM : onTime</v>
      </c>
      <c r="M44" t="str">
        <v>AM : onTime</v>
      </c>
      <c r="N44" t="str">
        <v>AM : DELAY</v>
      </c>
      <c r="O44" t="str">
        <v>AM : onTime</v>
      </c>
      <c r="P44" t="str">
        <v>OFF</v>
      </c>
      <c r="Q44" t="str">
        <v>AM : onTime</v>
      </c>
      <c r="R44" t="str">
        <v>AM : onTime</v>
      </c>
      <c r="S44" t="str">
        <v>AM : onTime</v>
      </c>
      <c r="T44" t="str">
        <v>AM : DELAY</v>
      </c>
      <c r="U44" t="str">
        <v>AM : onTime</v>
      </c>
      <c r="V44" t="str">
        <v>AM : onTime</v>
      </c>
      <c r="W44" t="str">
        <v>OFF</v>
      </c>
      <c r="X44" t="str">
        <v>AM : DELAY</v>
      </c>
      <c r="Y44" t="str">
        <v>AM : DELAY</v>
      </c>
      <c r="Z44" t="str">
        <v>AM : DELAY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</row>
    <row r="45" spans="1:37">
      <c r="A45" t="str">
        <v>Ahmed Atallah Al Otaibi</v>
      </c>
      <c r="B45">
        <v>80123293</v>
      </c>
      <c r="C45">
        <v>80123293</v>
      </c>
      <c r="D45" t="str">
        <v>Central</v>
      </c>
      <c r="E45" t="str">
        <v>SAF015C</v>
      </c>
      <c r="F45" t="str">
        <v>AM : onTime</v>
      </c>
      <c r="G45" t="str">
        <v>AM : onTime</v>
      </c>
      <c r="H45" t="str">
        <v>AM : onTime</v>
      </c>
      <c r="I45" t="str">
        <v>OFF</v>
      </c>
      <c r="J45" t="str">
        <v>AM : onTime</v>
      </c>
      <c r="K45" t="str">
        <v>AM : onTime</v>
      </c>
      <c r="L45" t="str">
        <v>AM : onTime</v>
      </c>
      <c r="M45" t="str">
        <v>AM : onTime</v>
      </c>
      <c r="N45" t="str">
        <v>AM : DELAY</v>
      </c>
      <c r="O45" t="str">
        <v>SICK</v>
      </c>
      <c r="P45" t="str">
        <v>OFF</v>
      </c>
      <c r="Q45" t="str">
        <v>AM : onTime</v>
      </c>
      <c r="R45" t="str">
        <v>AM : onTime</v>
      </c>
      <c r="S45" t="str">
        <v>AM : onTime</v>
      </c>
      <c r="T45" t="str">
        <v>AM : onTime</v>
      </c>
      <c r="U45" t="str">
        <v>AM : onTime</v>
      </c>
      <c r="V45" t="str">
        <v>AM : onTime</v>
      </c>
      <c r="W45" t="str">
        <v>OFF</v>
      </c>
      <c r="X45" t="str">
        <v>AM : onTime</v>
      </c>
      <c r="Y45" t="str">
        <v>AM : onTime</v>
      </c>
      <c r="Z45" t="str">
        <v>AM : onTime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</row>
    <row r="46" spans="1:37">
      <c r="A46" t="str">
        <v>Mohammed Faisal Al Subaie</v>
      </c>
      <c r="B46">
        <v>80114193</v>
      </c>
      <c r="C46">
        <v>80114193</v>
      </c>
      <c r="D46" t="str">
        <v>Central</v>
      </c>
      <c r="E46" t="str">
        <v>SAF002C</v>
      </c>
      <c r="F46" t="str">
        <v>AL</v>
      </c>
      <c r="G46" t="str">
        <v>AM : onTime</v>
      </c>
      <c r="H46" t="str">
        <v>AM : onTime</v>
      </c>
      <c r="I46" t="str">
        <v>OFF</v>
      </c>
      <c r="J46" t="str">
        <v>AM : DELAY</v>
      </c>
      <c r="K46" t="str">
        <v>AM : DELAY</v>
      </c>
      <c r="L46" t="str">
        <v>AM : onTime</v>
      </c>
      <c r="M46" t="str">
        <v>AM : onTime</v>
      </c>
      <c r="N46" t="str">
        <v>AM : DELAY</v>
      </c>
      <c r="O46" t="str">
        <v>AL</v>
      </c>
      <c r="P46" t="str">
        <v>OFF</v>
      </c>
      <c r="Q46" t="str">
        <v>AM : onTime</v>
      </c>
      <c r="R46" t="str">
        <v>AM : onTime</v>
      </c>
      <c r="S46" t="str">
        <v>AM : DELAY</v>
      </c>
      <c r="T46" t="str">
        <v>AM : onTime</v>
      </c>
      <c r="U46" t="str">
        <v>AM : DELAY</v>
      </c>
      <c r="V46" t="str">
        <v>AM : onTime</v>
      </c>
      <c r="W46" t="str">
        <v>OFF</v>
      </c>
      <c r="X46" t="str">
        <v>AM : onTime</v>
      </c>
      <c r="Y46" t="str">
        <v>AM : DELAY</v>
      </c>
      <c r="Z46" t="str">
        <v>AM : DELAY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</row>
    <row r="47" spans="1:37">
      <c r="A47" t="str">
        <v>Naif Aboud Al Ghubaywi</v>
      </c>
      <c r="B47">
        <v>80087261</v>
      </c>
      <c r="C47">
        <v>80087261</v>
      </c>
      <c r="D47" t="str">
        <v>Central</v>
      </c>
      <c r="E47" t="str">
        <v>SAF018C</v>
      </c>
      <c r="F47" t="str">
        <v>PM : DELAY</v>
      </c>
      <c r="G47" t="str">
        <v>PM : DELAY</v>
      </c>
      <c r="H47" t="str">
        <v>PM : DELAY</v>
      </c>
      <c r="I47" t="str">
        <v>OFF</v>
      </c>
      <c r="J47" t="str">
        <v>PM : DELAY</v>
      </c>
      <c r="K47" t="str">
        <v>PM : DELAY</v>
      </c>
      <c r="L47" t="str">
        <v>PM : onTime</v>
      </c>
      <c r="M47" t="str">
        <v>PM : DELAY</v>
      </c>
      <c r="N47" t="str">
        <v>AM : DELAY</v>
      </c>
      <c r="O47" t="str">
        <v>OFF</v>
      </c>
      <c r="P47" t="str">
        <v>AL</v>
      </c>
      <c r="Q47" t="str">
        <v>PM : onTime</v>
      </c>
      <c r="R47" t="str">
        <v>PM : DELAY</v>
      </c>
      <c r="S47" t="str">
        <v>PM : DELAY</v>
      </c>
      <c r="T47" t="str">
        <v>PM : DELAY</v>
      </c>
      <c r="U47" t="str">
        <v>PM : DELAY</v>
      </c>
      <c r="V47" t="str">
        <v>OFF</v>
      </c>
      <c r="W47" t="str">
        <v>PM : DELAY</v>
      </c>
      <c r="X47" t="str">
        <v>PM : DELAY</v>
      </c>
      <c r="Y47" t="str">
        <v>PM : DELAY</v>
      </c>
      <c r="Z47" t="str">
        <v>PM : ABS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</row>
    <row r="48" spans="1:37">
      <c r="A48" t="str">
        <v>Ghazlan Mohammed Al Dawsari</v>
      </c>
      <c r="B48">
        <v>80123780</v>
      </c>
      <c r="C48">
        <v>80123780</v>
      </c>
      <c r="D48" t="str">
        <v>Central</v>
      </c>
      <c r="E48" t="str">
        <v>SAF034C</v>
      </c>
      <c r="F48" t="str">
        <v>PM : DELAY</v>
      </c>
      <c r="G48" t="str">
        <v>AL</v>
      </c>
      <c r="H48" t="str">
        <v>OFF</v>
      </c>
      <c r="I48" t="str">
        <v>PM : DELAY</v>
      </c>
      <c r="J48" t="str">
        <v>PM : onTime</v>
      </c>
      <c r="K48" t="str">
        <v>PM : onTime</v>
      </c>
      <c r="L48" t="str">
        <v>PM : onTime</v>
      </c>
      <c r="M48" t="str">
        <v>PM : onTime</v>
      </c>
      <c r="N48" t="str">
        <v>PM : onTime</v>
      </c>
      <c r="O48" t="str">
        <v>PM : onTime</v>
      </c>
      <c r="P48" t="str">
        <v>OFF</v>
      </c>
      <c r="Q48" t="str">
        <v>AM : onTime</v>
      </c>
      <c r="R48" t="str">
        <v>AM : OverTime</v>
      </c>
      <c r="S48" t="str">
        <v>AM : onTime</v>
      </c>
      <c r="T48" t="str">
        <v>AM : DELAY</v>
      </c>
      <c r="U48" t="str">
        <v>AL</v>
      </c>
      <c r="V48" t="str">
        <v>AM : onTime</v>
      </c>
      <c r="W48" t="str">
        <v>OFF</v>
      </c>
      <c r="X48" t="str">
        <v>AM : onTime</v>
      </c>
      <c r="Y48" t="str">
        <v>AM : onTime</v>
      </c>
      <c r="Z48" t="str">
        <v>AM : onTime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</row>
    <row r="49" spans="1:37">
      <c r="A49" t="str">
        <v>Turki Hadi Alotaibi</v>
      </c>
      <c r="B49">
        <v>80126641</v>
      </c>
      <c r="C49">
        <v>80126641</v>
      </c>
      <c r="D49" t="str">
        <v>Central</v>
      </c>
      <c r="E49" t="str">
        <v>SAF002C</v>
      </c>
      <c r="F49" t="str">
        <v>AL</v>
      </c>
      <c r="G49" t="str">
        <v>AL</v>
      </c>
      <c r="H49" t="str">
        <v>AL</v>
      </c>
      <c r="I49" t="str">
        <v>AL</v>
      </c>
      <c r="J49" t="str">
        <v>AL</v>
      </c>
      <c r="K49" t="str">
        <v>AL</v>
      </c>
      <c r="L49" t="str">
        <v>AL</v>
      </c>
      <c r="M49" t="str">
        <v>AL</v>
      </c>
      <c r="N49" t="str">
        <v>AM : DELAY</v>
      </c>
      <c r="O49" t="str">
        <v>AM : onTime</v>
      </c>
      <c r="P49" t="str">
        <v>OFF</v>
      </c>
      <c r="Q49" t="str">
        <v>AM : DELAY</v>
      </c>
      <c r="R49" t="str">
        <v>AM : onTime</v>
      </c>
      <c r="S49" t="str">
        <v>AM : onTime</v>
      </c>
      <c r="T49" t="str">
        <v>AM : DELAY</v>
      </c>
      <c r="U49" t="str">
        <v>AM : onTime</v>
      </c>
      <c r="V49" t="str">
        <v>AM : onTime</v>
      </c>
      <c r="W49" t="str">
        <v>OFF</v>
      </c>
      <c r="X49" t="str">
        <v>PM : onTime</v>
      </c>
      <c r="Y49" t="str">
        <v>PM : onTime</v>
      </c>
      <c r="Z49" t="str">
        <v>PM : onTime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</row>
    <row r="50" spans="1:37">
      <c r="A50" t="str">
        <v>Nawaf Awad Al otaibi</v>
      </c>
      <c r="B50">
        <v>80054232</v>
      </c>
      <c r="C50">
        <v>80054232</v>
      </c>
      <c r="D50" t="str">
        <v>Central</v>
      </c>
      <c r="E50" t="str">
        <v>SAF002C</v>
      </c>
      <c r="F50" t="str">
        <v>AM : DELAY</v>
      </c>
      <c r="G50" t="str">
        <v>AM : DELAY</v>
      </c>
      <c r="H50" t="str">
        <v>AM : DELAY</v>
      </c>
      <c r="I50" t="str">
        <v>OFF</v>
      </c>
      <c r="J50" t="str">
        <v>AL</v>
      </c>
      <c r="K50" t="str">
        <v>AM : DELAY</v>
      </c>
      <c r="L50" t="str">
        <v>AM : DELAY</v>
      </c>
      <c r="M50" t="str">
        <v>AM : DELAY</v>
      </c>
      <c r="N50" t="str">
        <v>AM : DELAY</v>
      </c>
      <c r="O50" t="str">
        <v>AM : DELAY</v>
      </c>
      <c r="P50" t="str">
        <v>OFF</v>
      </c>
      <c r="Q50" t="str">
        <v>AM : DELAY</v>
      </c>
      <c r="R50" t="str">
        <v>AM : DELAY</v>
      </c>
      <c r="S50" t="str">
        <v>AM : DELAY</v>
      </c>
      <c r="T50" t="str">
        <v>AM : DELAY</v>
      </c>
      <c r="U50" t="str">
        <v>AM : DELAY</v>
      </c>
      <c r="V50" t="str">
        <v>AM : DELAY</v>
      </c>
      <c r="W50" t="str">
        <v>OFF</v>
      </c>
      <c r="X50" t="str">
        <v>AL</v>
      </c>
      <c r="Y50" t="str">
        <v>AM : DELAY</v>
      </c>
      <c r="Z50" t="str">
        <v>AM : DELAY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</row>
    <row r="51" spans="1:37">
      <c r="A51" t="str">
        <v>Faisal Fatim Alotabi</v>
      </c>
      <c r="B51">
        <v>80104210</v>
      </c>
      <c r="C51">
        <v>80104210</v>
      </c>
      <c r="D51" t="str">
        <v>Central</v>
      </c>
      <c r="E51" t="str">
        <v>SAF029C</v>
      </c>
      <c r="F51" t="str">
        <v>AM : onTime</v>
      </c>
      <c r="G51" t="str">
        <v>AM : onTime</v>
      </c>
      <c r="H51" t="str">
        <v>AM : DELAY</v>
      </c>
      <c r="I51" t="str">
        <v>OFF</v>
      </c>
      <c r="J51" t="str">
        <v>AM : onTime</v>
      </c>
      <c r="K51" t="str">
        <v>AM : onTime</v>
      </c>
      <c r="L51" t="str">
        <v>AM : onTime</v>
      </c>
      <c r="M51" t="str">
        <v>AM : DELAY</v>
      </c>
      <c r="N51" t="str">
        <v>AM : DELAY</v>
      </c>
      <c r="O51" t="str">
        <v>AM : onTime</v>
      </c>
      <c r="P51" t="str">
        <v>OFF</v>
      </c>
      <c r="Q51" t="str">
        <v>AM : onTime</v>
      </c>
      <c r="R51" t="str">
        <v>AM : onTime</v>
      </c>
      <c r="S51" t="str">
        <v>AM : onTime</v>
      </c>
      <c r="T51" t="str">
        <v>AM : onTime</v>
      </c>
      <c r="U51" t="str">
        <v>AM : onTime</v>
      </c>
      <c r="V51" t="str">
        <v>AM : onTime</v>
      </c>
      <c r="W51" t="str">
        <v>OFF</v>
      </c>
      <c r="X51" t="str">
        <v>AM : DELAY</v>
      </c>
      <c r="Y51" t="str">
        <v>AM : onTime</v>
      </c>
      <c r="Z51" t="str">
        <v>AM : onTime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</row>
    <row r="52" spans="1:37">
      <c r="A52" t="str">
        <v>NAWAF FAIHAN ALOTAIBI</v>
      </c>
      <c r="B52">
        <v>80120274</v>
      </c>
      <c r="C52">
        <v>80120274</v>
      </c>
      <c r="D52" t="str">
        <v>Central</v>
      </c>
      <c r="E52" t="str">
        <v>SAF017C</v>
      </c>
      <c r="F52" t="str">
        <v>PM : DELAY</v>
      </c>
      <c r="G52" t="str">
        <v>PM : DELAY</v>
      </c>
      <c r="H52" t="str">
        <v>PM : ABS</v>
      </c>
      <c r="I52" t="str">
        <v>OFF</v>
      </c>
      <c r="J52" t="str">
        <v>AM : onTime</v>
      </c>
      <c r="K52" t="str">
        <v>PM : DELAY</v>
      </c>
      <c r="L52" t="str">
        <v>PM : DELAY</v>
      </c>
      <c r="M52" t="str">
        <v>PM : onTime</v>
      </c>
      <c r="N52" t="str">
        <v>PM : DELAY</v>
      </c>
      <c r="O52" t="str">
        <v>PM : onTime</v>
      </c>
      <c r="P52" t="str">
        <v>OFF</v>
      </c>
      <c r="Q52" t="str">
        <v>AM : DELAY</v>
      </c>
      <c r="R52" t="str">
        <v>PM : onTime</v>
      </c>
      <c r="S52" t="str">
        <v>PM : onTime</v>
      </c>
      <c r="T52" t="str">
        <v>PM : onTime</v>
      </c>
      <c r="U52" t="str">
        <v>AM : DELAY</v>
      </c>
      <c r="V52" t="str">
        <v>AM : DELAY</v>
      </c>
      <c r="W52" t="str">
        <v>OFF</v>
      </c>
      <c r="X52" t="str">
        <v>AM : ABS</v>
      </c>
      <c r="Y52" t="str">
        <v>AM : ABS</v>
      </c>
      <c r="Z52" t="str">
        <v>AM : ABS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</row>
    <row r="53" spans="1:37">
      <c r="A53" t="str">
        <v>Saed mohammed AlQasim</v>
      </c>
      <c r="B53">
        <v>80047326</v>
      </c>
      <c r="C53">
        <v>80047326</v>
      </c>
      <c r="D53" t="str">
        <v>Central</v>
      </c>
      <c r="E53" t="str">
        <v>SAF014C</v>
      </c>
      <c r="F53" t="str">
        <v>AM : onTime</v>
      </c>
      <c r="G53" t="str">
        <v>AM : onTime</v>
      </c>
      <c r="H53" t="str">
        <v>AM : onTime</v>
      </c>
      <c r="I53" t="str">
        <v>OFF</v>
      </c>
      <c r="J53" t="str">
        <v>AM : onTime</v>
      </c>
      <c r="K53" t="str">
        <v>AM : onTime</v>
      </c>
      <c r="L53" t="str">
        <v>AM : onTime</v>
      </c>
      <c r="M53" t="str">
        <v>PM : onTime</v>
      </c>
      <c r="N53" t="str">
        <v>AM : onTime</v>
      </c>
      <c r="O53" t="str">
        <v>AL</v>
      </c>
      <c r="P53" t="str">
        <v>OFF</v>
      </c>
      <c r="Q53" t="str">
        <v>PM : onTime</v>
      </c>
      <c r="R53" t="str">
        <v>AM : onTime</v>
      </c>
      <c r="S53" t="str">
        <v>AM : onTime</v>
      </c>
      <c r="T53" t="str">
        <v>AM : onTime</v>
      </c>
      <c r="U53" t="str">
        <v>AM : onTime</v>
      </c>
      <c r="V53" t="str">
        <v>AM : onTime</v>
      </c>
      <c r="W53" t="str">
        <v>OFF</v>
      </c>
      <c r="X53" t="str">
        <v>AM : onTime</v>
      </c>
      <c r="Y53" t="str">
        <v>AM : onTime</v>
      </c>
      <c r="Z53" t="str">
        <v>AM : onTime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</row>
    <row r="54" spans="1:37">
      <c r="A54" t="str">
        <v>Muath Khalid Al Hajri</v>
      </c>
      <c r="B54">
        <v>80125513</v>
      </c>
      <c r="C54">
        <v>80125513</v>
      </c>
      <c r="D54" t="str">
        <v>Central</v>
      </c>
      <c r="E54" t="str">
        <v>SAF002C</v>
      </c>
      <c r="F54" t="str">
        <v>OFF : OverTime</v>
      </c>
      <c r="G54" t="str">
        <v>PM : DELAY</v>
      </c>
      <c r="H54" t="str">
        <v>PM : DELAY</v>
      </c>
      <c r="I54" t="str">
        <v>PM : DELAY</v>
      </c>
      <c r="J54" t="str">
        <v>PM : DELAY</v>
      </c>
      <c r="K54" t="str">
        <v>PM : DELAY</v>
      </c>
      <c r="L54" t="str">
        <v>PM : DELAY</v>
      </c>
      <c r="M54" t="str">
        <v>OFF</v>
      </c>
      <c r="N54" t="str">
        <v>PM : DELAY</v>
      </c>
      <c r="O54" t="str">
        <v>PM : ABS</v>
      </c>
      <c r="P54" t="str">
        <v>PM : DELAY</v>
      </c>
      <c r="Q54" t="str">
        <v>PM : onTime</v>
      </c>
      <c r="R54" t="str">
        <v>PM : onTime</v>
      </c>
      <c r="S54" t="str">
        <v>PM : DELAY</v>
      </c>
      <c r="T54" t="str">
        <v>OFF</v>
      </c>
      <c r="U54" t="str">
        <v>AL</v>
      </c>
      <c r="V54" t="str">
        <v>PM : DELAY</v>
      </c>
      <c r="W54" t="str">
        <v>PM : DELAY</v>
      </c>
      <c r="X54" t="str">
        <v>PM : onTime</v>
      </c>
      <c r="Y54" t="str">
        <v>PM : DELAY</v>
      </c>
      <c r="Z54" t="str">
        <v>PM : DELAY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</row>
    <row r="55" spans="1:37">
      <c r="A55" t="str">
        <v>Khalid Munif Al Mutairi</v>
      </c>
      <c r="B55">
        <v>80115732</v>
      </c>
      <c r="C55">
        <v>80115732</v>
      </c>
      <c r="D55" t="str">
        <v>Central</v>
      </c>
      <c r="E55" t="str">
        <v>SAF026C</v>
      </c>
      <c r="F55" t="str">
        <v>PM : onTime</v>
      </c>
      <c r="G55" t="str">
        <v>PM : onTime</v>
      </c>
      <c r="H55" t="str">
        <v>OFF</v>
      </c>
      <c r="I55" t="str">
        <v>PM : onTime</v>
      </c>
      <c r="J55" t="str">
        <v>PM : DELAY</v>
      </c>
      <c r="K55" t="str">
        <v>PM : onTime</v>
      </c>
      <c r="L55" t="str">
        <v>PM : onTime</v>
      </c>
      <c r="M55" t="str">
        <v>PM : onTime</v>
      </c>
      <c r="N55" t="str">
        <v>PM : onTime</v>
      </c>
      <c r="O55" t="str">
        <v>OFF</v>
      </c>
      <c r="P55" t="str">
        <v>PM : onTime</v>
      </c>
      <c r="Q55" t="str">
        <v>AL</v>
      </c>
      <c r="R55" t="str">
        <v>PM : onTime</v>
      </c>
      <c r="S55" t="str">
        <v>PM : onTime</v>
      </c>
      <c r="T55" t="str">
        <v>SICK</v>
      </c>
      <c r="U55" t="str">
        <v>PM : onTime</v>
      </c>
      <c r="V55" t="str">
        <v>OFF</v>
      </c>
      <c r="W55" t="str">
        <v>PM : onTime</v>
      </c>
      <c r="X55" t="str">
        <v>PM : onTime</v>
      </c>
      <c r="Y55" t="str">
        <v>PM : onTime</v>
      </c>
      <c r="Z55" t="str">
        <v>PM : onTime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</row>
    <row r="56" spans="1:37">
      <c r="A56" t="str">
        <v>Saad Reshed Al Daql</v>
      </c>
      <c r="B56">
        <v>80125128</v>
      </c>
      <c r="C56">
        <v>80125128</v>
      </c>
      <c r="D56" t="str">
        <v>Central</v>
      </c>
      <c r="E56" t="str">
        <v>SAF014C</v>
      </c>
      <c r="F56" t="str">
        <v>PM : onTime</v>
      </c>
      <c r="G56" t="str">
        <v>PM : onTime</v>
      </c>
      <c r="H56" t="str">
        <v>PM : onTime</v>
      </c>
      <c r="I56" t="str">
        <v>OFF</v>
      </c>
      <c r="J56" t="str">
        <v>PM : onTime</v>
      </c>
      <c r="K56" t="str">
        <v>AM : onTime</v>
      </c>
      <c r="L56" t="str">
        <v>AM : onTime</v>
      </c>
      <c r="M56" t="str">
        <v>AM : onTime</v>
      </c>
      <c r="N56" t="str">
        <v>PM : onTime</v>
      </c>
      <c r="O56" t="str">
        <v>AM : onTime</v>
      </c>
      <c r="P56" t="str">
        <v>OFF</v>
      </c>
      <c r="Q56" t="str">
        <v>AM : onTime</v>
      </c>
      <c r="R56" t="str">
        <v>PM : onTime</v>
      </c>
      <c r="S56" t="str">
        <v>PM : onTime</v>
      </c>
      <c r="T56" t="str">
        <v>PM : DELAY</v>
      </c>
      <c r="U56" t="str">
        <v>PM : onTime</v>
      </c>
      <c r="V56" t="str">
        <v>PM : onTime</v>
      </c>
      <c r="W56" t="str">
        <v>PM : onTime</v>
      </c>
      <c r="X56" t="str">
        <v>OFF</v>
      </c>
      <c r="Y56" t="str">
        <v>PM : onTime</v>
      </c>
      <c r="Z56" t="str">
        <v>PM : onTime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</row>
    <row r="57" spans="1:37">
      <c r="A57" t="str">
        <v>Talal Abdulrazaq Al Otaibi</v>
      </c>
      <c r="B57">
        <v>80100025</v>
      </c>
      <c r="C57">
        <v>80100025</v>
      </c>
      <c r="D57" t="str">
        <v>Central</v>
      </c>
      <c r="E57" t="str">
        <v>SAF007C</v>
      </c>
      <c r="F57" t="str">
        <v>PM : DELAY</v>
      </c>
      <c r="G57" t="str">
        <v>PM : onTime</v>
      </c>
      <c r="H57" t="str">
        <v>PM : onTime</v>
      </c>
      <c r="I57" t="str">
        <v>OFF</v>
      </c>
      <c r="J57" t="str">
        <v>PM : onTime</v>
      </c>
      <c r="K57" t="str">
        <v>PM : onTime</v>
      </c>
      <c r="L57" t="str">
        <v>PM : onTime</v>
      </c>
      <c r="M57" t="str">
        <v>PM : onTime</v>
      </c>
      <c r="N57" t="str">
        <v>PM : ABS</v>
      </c>
      <c r="O57" t="str">
        <v>PM : ABS</v>
      </c>
      <c r="P57" t="str">
        <v>OFF</v>
      </c>
      <c r="Q57" t="str">
        <v>PM : DELAY</v>
      </c>
      <c r="R57" t="str">
        <v>PM : onTime</v>
      </c>
      <c r="S57" t="str">
        <v>PM : onTime</v>
      </c>
      <c r="T57" t="str">
        <v>PM : onTime</v>
      </c>
      <c r="U57" t="str">
        <v>PM : onTime</v>
      </c>
      <c r="V57" t="str">
        <v>PM : onTime</v>
      </c>
      <c r="W57" t="str">
        <v>OFF</v>
      </c>
      <c r="X57" t="str">
        <v>PM : onTime</v>
      </c>
      <c r="Y57" t="str">
        <v>PM : onTime</v>
      </c>
      <c r="Z57" t="str">
        <v>PM : onTime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</row>
    <row r="58" spans="1:37">
      <c r="A58" t="str">
        <v>Turki Awadh Al Otaibi</v>
      </c>
      <c r="B58">
        <v>80117078</v>
      </c>
      <c r="C58">
        <v>80117078</v>
      </c>
      <c r="D58" t="str">
        <v>Central</v>
      </c>
      <c r="E58" t="str">
        <v>SAF015C</v>
      </c>
      <c r="F58" t="str">
        <v>PM : onTime</v>
      </c>
      <c r="G58" t="str">
        <v>PM : onTime</v>
      </c>
      <c r="H58" t="str">
        <v>OFF</v>
      </c>
      <c r="I58" t="str">
        <v>PM : onTime</v>
      </c>
      <c r="J58" t="str">
        <v>PM : onTime</v>
      </c>
      <c r="K58" t="str">
        <v>PM : onTime</v>
      </c>
      <c r="L58" t="str">
        <v>PM : onTime</v>
      </c>
      <c r="M58" t="str">
        <v>PM : onTime</v>
      </c>
      <c r="N58" t="str">
        <v>PM : onTime</v>
      </c>
      <c r="O58" t="str">
        <v>OFF</v>
      </c>
      <c r="P58" t="str">
        <v>PM : onTime</v>
      </c>
      <c r="Q58" t="str">
        <v>PM : onTime</v>
      </c>
      <c r="R58" t="str">
        <v>PM : onTime</v>
      </c>
      <c r="S58" t="str">
        <v>PM : DELAY</v>
      </c>
      <c r="T58" t="str">
        <v>PM : onTime</v>
      </c>
      <c r="U58" t="str">
        <v>PM : onTime</v>
      </c>
      <c r="V58" t="str">
        <v>OFF</v>
      </c>
      <c r="W58" t="str">
        <v>PM : onTime</v>
      </c>
      <c r="X58" t="str">
        <v>PM : onTime</v>
      </c>
      <c r="Y58" t="str">
        <v>PM : onTime</v>
      </c>
      <c r="Z58" t="str">
        <v>PM : onTime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</row>
    <row r="59" spans="1:37">
      <c r="A59" t="str">
        <v>Gala Saud Al otaibi</v>
      </c>
      <c r="B59">
        <v>80111330</v>
      </c>
      <c r="C59">
        <v>80111330</v>
      </c>
      <c r="D59" t="str">
        <v>Central</v>
      </c>
      <c r="E59" t="str">
        <v>SAF036C</v>
      </c>
      <c r="F59" t="str">
        <v>SICK</v>
      </c>
      <c r="G59" t="str">
        <v>PM : DELAY</v>
      </c>
      <c r="H59" t="str">
        <v>OFF</v>
      </c>
      <c r="I59" t="str">
        <v>PM : DELAY</v>
      </c>
      <c r="J59" t="str">
        <v>PM : onTime</v>
      </c>
      <c r="K59" t="str">
        <v>PM : onTime</v>
      </c>
      <c r="L59" t="str">
        <v>PM : onTime</v>
      </c>
      <c r="M59" t="str">
        <v>PM : onTime</v>
      </c>
      <c r="N59" t="str">
        <v>PM : onTime</v>
      </c>
      <c r="O59" t="str">
        <v>OFF : OverTime</v>
      </c>
      <c r="P59" t="str">
        <v>PM : onTime</v>
      </c>
      <c r="Q59" t="str">
        <v>OFF : OverTime</v>
      </c>
      <c r="R59" t="str">
        <v>PM : DELAY</v>
      </c>
      <c r="S59" t="str">
        <v>PM : onTime</v>
      </c>
      <c r="T59" t="str">
        <v>PM : ABS</v>
      </c>
      <c r="U59" t="str">
        <v>AM : onTime</v>
      </c>
      <c r="V59" t="str">
        <v>AM : onTime</v>
      </c>
      <c r="W59" t="str">
        <v>PM : ABS</v>
      </c>
      <c r="X59" t="str">
        <v>OFF : OverTime</v>
      </c>
      <c r="Y59" t="str">
        <v>AM : onTime</v>
      </c>
      <c r="Z59" t="str">
        <v>AM : DELAY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</row>
    <row r="60" spans="1:37">
      <c r="A60" t="str">
        <v>Yazeed Mubarak Al Rashdi</v>
      </c>
      <c r="B60">
        <v>80112419</v>
      </c>
      <c r="C60">
        <v>80112419</v>
      </c>
      <c r="D60" t="str">
        <v>Central</v>
      </c>
      <c r="E60" t="str">
        <v>SAF029C</v>
      </c>
      <c r="F60" t="str">
        <v>AL</v>
      </c>
      <c r="G60" t="str">
        <v>AM : DELAY</v>
      </c>
      <c r="H60" t="str">
        <v>AM : onTime</v>
      </c>
      <c r="I60" t="str">
        <v>OFF</v>
      </c>
      <c r="J60" t="str">
        <v>PM : onTime</v>
      </c>
      <c r="K60" t="str">
        <v>AM : onTime</v>
      </c>
      <c r="L60" t="str">
        <v>AM : onTime</v>
      </c>
      <c r="M60" t="str">
        <v>AM : DELAY</v>
      </c>
      <c r="N60" t="str">
        <v>AM : DELAY</v>
      </c>
      <c r="O60" t="str">
        <v>AM : onTime</v>
      </c>
      <c r="P60" t="str">
        <v>OFF</v>
      </c>
      <c r="Q60" t="str">
        <v>PM : onTime</v>
      </c>
      <c r="R60" t="str">
        <v>AM : onTime</v>
      </c>
      <c r="S60" t="str">
        <v>AM : onTime</v>
      </c>
      <c r="T60" t="str">
        <v>AM : onTime</v>
      </c>
      <c r="U60" t="str">
        <v>AM : onTime</v>
      </c>
      <c r="V60" t="str">
        <v>AM : DELAY</v>
      </c>
      <c r="W60" t="str">
        <v>OFF</v>
      </c>
      <c r="X60" t="str">
        <v>PM : onTime</v>
      </c>
      <c r="Y60" t="str">
        <v>AM : onTime</v>
      </c>
      <c r="Z60" t="str">
        <v>AM : onTime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</row>
    <row r="61" spans="1:37">
      <c r="A61" t="str">
        <v>Majed Muhay AlMutairi</v>
      </c>
      <c r="B61">
        <v>80102782</v>
      </c>
      <c r="C61">
        <v>80102782</v>
      </c>
      <c r="D61" t="str">
        <v xml:space="preserve">Central </v>
      </c>
      <c r="E61" t="str">
        <v>SAF002C</v>
      </c>
      <c r="F61" t="str">
        <v>PM : onTime</v>
      </c>
      <c r="G61" t="str">
        <v>PM : DELAY</v>
      </c>
      <c r="H61" t="str">
        <v>PM : onTime</v>
      </c>
      <c r="I61" t="str">
        <v>PM : onTime</v>
      </c>
      <c r="J61" t="str">
        <v>OFF</v>
      </c>
      <c r="K61" t="str">
        <v>PM : onTime</v>
      </c>
      <c r="L61" t="str">
        <v>PM : onTime</v>
      </c>
      <c r="M61" t="str">
        <v>PM : onTime</v>
      </c>
      <c r="N61" t="str">
        <v>PM : DELAY</v>
      </c>
      <c r="O61" t="str">
        <v>PM : ABS</v>
      </c>
      <c r="P61" t="str">
        <v>PM : onTime</v>
      </c>
      <c r="Q61" t="str">
        <v>OFF</v>
      </c>
      <c r="R61" t="str">
        <v>PM : DELAY</v>
      </c>
      <c r="S61" t="str">
        <v>PM : onTime</v>
      </c>
      <c r="T61" t="str">
        <v>PM : onTime</v>
      </c>
      <c r="U61" t="str">
        <v>PM : DELAY</v>
      </c>
      <c r="V61" t="str">
        <v>PM : DELAY</v>
      </c>
      <c r="W61" t="str">
        <v>PM : onTime</v>
      </c>
      <c r="X61" t="str">
        <v>OFF</v>
      </c>
      <c r="Y61" t="str">
        <v>PM : ABS</v>
      </c>
      <c r="Z61" t="str">
        <v>PM : ABS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</row>
    <row r="62" spans="1:37">
      <c r="A62" t="str">
        <v>Salman Abdullah Al Hussain</v>
      </c>
      <c r="B62">
        <v>80125568</v>
      </c>
      <c r="C62">
        <v>80125568</v>
      </c>
      <c r="D62" t="str">
        <v>Central</v>
      </c>
      <c r="E62" t="str">
        <v>SAF005C</v>
      </c>
      <c r="F62" t="str">
        <v>AM : onTime</v>
      </c>
      <c r="G62" t="str">
        <v>AM : onTime</v>
      </c>
      <c r="H62" t="str">
        <v>AM : DELAY</v>
      </c>
      <c r="I62" t="str">
        <v>OFF</v>
      </c>
      <c r="J62" t="str">
        <v>AM : onTime</v>
      </c>
      <c r="K62" t="str">
        <v>AM : onTime</v>
      </c>
      <c r="L62" t="str">
        <v>AM : DELAY</v>
      </c>
      <c r="M62" t="str">
        <v>AM : onTime</v>
      </c>
      <c r="N62" t="str">
        <v>AM : DELAY</v>
      </c>
      <c r="O62" t="str">
        <v>AM : onTime</v>
      </c>
      <c r="P62" t="str">
        <v>OFF</v>
      </c>
      <c r="Q62" t="str">
        <v>AM : onTime</v>
      </c>
      <c r="R62" t="str">
        <v>AM : onTime</v>
      </c>
      <c r="S62" t="str">
        <v>AM : onTime</v>
      </c>
      <c r="T62" t="str">
        <v>AM : onTime</v>
      </c>
      <c r="U62" t="str">
        <v>AM : onTime</v>
      </c>
      <c r="V62" t="str">
        <v>AM : DELAY</v>
      </c>
      <c r="W62" t="str">
        <v>OFF</v>
      </c>
      <c r="X62" t="str">
        <v>AM : onTime</v>
      </c>
      <c r="Y62" t="str">
        <v>AM : onTime</v>
      </c>
      <c r="Z62" t="str">
        <v>AM : onTime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</row>
    <row r="63" spans="1:37">
      <c r="A63" t="str">
        <v>Fahad Saeed Al Dawsari</v>
      </c>
      <c r="B63">
        <v>80062544</v>
      </c>
      <c r="C63">
        <v>80062544</v>
      </c>
      <c r="D63" t="str">
        <v>Central</v>
      </c>
      <c r="E63" t="str">
        <v>SAF008C</v>
      </c>
      <c r="F63" t="str">
        <v>PM : onTime</v>
      </c>
      <c r="G63" t="str">
        <v>PM : onTime</v>
      </c>
      <c r="H63" t="str">
        <v>PM : onTime</v>
      </c>
      <c r="I63" t="str">
        <v>OFF</v>
      </c>
      <c r="J63" t="str">
        <v>PM : onTime</v>
      </c>
      <c r="K63" t="str">
        <v>PM : onTime</v>
      </c>
      <c r="L63" t="str">
        <v>PM : onTime</v>
      </c>
      <c r="M63" t="str">
        <v>PM : DELAY</v>
      </c>
      <c r="N63" t="str">
        <v>PM : onTime</v>
      </c>
      <c r="O63" t="str">
        <v>PM : onTime</v>
      </c>
      <c r="P63" t="str">
        <v>OFF</v>
      </c>
      <c r="Q63" t="str">
        <v>PM : onTime</v>
      </c>
      <c r="R63" t="str">
        <v>PM : onTime</v>
      </c>
      <c r="S63" t="str">
        <v>PM : onTime</v>
      </c>
      <c r="T63" t="str">
        <v>PM : onTime</v>
      </c>
      <c r="U63" t="str">
        <v>PM : onTime</v>
      </c>
      <c r="V63" t="str">
        <v>PM : onTime</v>
      </c>
      <c r="W63" t="str">
        <v>OFF</v>
      </c>
      <c r="X63" t="str">
        <v>PM : onTime</v>
      </c>
      <c r="Y63" t="str">
        <v>PM : onTime</v>
      </c>
      <c r="Z63" t="str">
        <v>PM : onTime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</row>
    <row r="64" spans="1:37">
      <c r="A64" t="str">
        <v>Meshari Zaed Al Otaibi</v>
      </c>
      <c r="B64">
        <v>80081083</v>
      </c>
      <c r="C64">
        <v>80081083</v>
      </c>
      <c r="D64" t="str">
        <v>Central</v>
      </c>
      <c r="E64" t="str">
        <v>SAF019C</v>
      </c>
      <c r="F64" t="str">
        <v>PM : onTime</v>
      </c>
      <c r="G64" t="str">
        <v>PM : onTime</v>
      </c>
      <c r="H64" t="str">
        <v>OFF</v>
      </c>
      <c r="I64" t="str">
        <v>AL</v>
      </c>
      <c r="J64" t="str">
        <v>AL</v>
      </c>
      <c r="K64" t="str">
        <v>PM : onTime</v>
      </c>
      <c r="L64" t="str">
        <v>PM : onTime</v>
      </c>
      <c r="M64" t="str">
        <v>PM : onTime</v>
      </c>
      <c r="N64" t="str">
        <v>PM : onTime</v>
      </c>
      <c r="O64" t="str">
        <v>OFF</v>
      </c>
      <c r="P64" t="str">
        <v>PM : onTime</v>
      </c>
      <c r="Q64" t="str">
        <v>PM : onTime</v>
      </c>
      <c r="R64" t="str">
        <v>PM : onTime</v>
      </c>
      <c r="S64" t="str">
        <v>PM : onTime</v>
      </c>
      <c r="T64" t="str">
        <v>PM : onTime</v>
      </c>
      <c r="U64" t="str">
        <v>PM : onTime</v>
      </c>
      <c r="V64" t="str">
        <v>OFF</v>
      </c>
      <c r="W64" t="str">
        <v>PM : onTime</v>
      </c>
      <c r="X64" t="str">
        <v>PM : onTime</v>
      </c>
      <c r="Y64" t="str">
        <v>PM : DELAY</v>
      </c>
      <c r="Z64" t="str">
        <v>PM : onTime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</row>
    <row r="65" spans="1:37">
      <c r="A65" t="str">
        <v>Abdullah Khalid Al Otaibi</v>
      </c>
      <c r="B65">
        <v>80123775</v>
      </c>
      <c r="C65">
        <v>80123775</v>
      </c>
      <c r="D65" t="str">
        <v>Central</v>
      </c>
      <c r="E65" t="str">
        <v>SAF002C</v>
      </c>
      <c r="F65" t="str">
        <v>PM : onTime</v>
      </c>
      <c r="G65" t="str">
        <v>PM : onTime</v>
      </c>
      <c r="H65" t="str">
        <v>OFF</v>
      </c>
      <c r="I65" t="str">
        <v>PM : onTime</v>
      </c>
      <c r="J65" t="str">
        <v>PM : DELAY</v>
      </c>
      <c r="K65" t="str">
        <v>PM : onTime</v>
      </c>
      <c r="L65" t="str">
        <v>PM : onTime</v>
      </c>
      <c r="M65" t="str">
        <v>PM : DELAY</v>
      </c>
      <c r="N65" t="str">
        <v>PM : DELAY</v>
      </c>
      <c r="O65" t="str">
        <v>OFF</v>
      </c>
      <c r="P65" t="str">
        <v>PM : onTime</v>
      </c>
      <c r="Q65" t="str">
        <v>PM : onTime</v>
      </c>
      <c r="R65" t="str">
        <v>PM : DELAY</v>
      </c>
      <c r="S65" t="str">
        <v>PM : DELAY</v>
      </c>
      <c r="T65" t="str">
        <v>PM : DELAY</v>
      </c>
      <c r="U65" t="str">
        <v>PM : DELAY</v>
      </c>
      <c r="V65" t="str">
        <v>OFF</v>
      </c>
      <c r="W65" t="str">
        <v>PM : DELAY</v>
      </c>
      <c r="X65" t="str">
        <v>PM : onTime</v>
      </c>
      <c r="Y65" t="str">
        <v>PM : DELAY</v>
      </c>
      <c r="Z65" t="str">
        <v>PM : onTime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</row>
    <row r="66" spans="1:37">
      <c r="A66" t="str">
        <v>Abdullah Mesfeer Al Qahtani</v>
      </c>
      <c r="B66">
        <v>80121643</v>
      </c>
      <c r="C66">
        <v>80121643</v>
      </c>
      <c r="D66" t="str">
        <v>Central</v>
      </c>
      <c r="E66" t="str">
        <v>SAF027C</v>
      </c>
      <c r="F66" t="str">
        <v>AM : DELAY</v>
      </c>
      <c r="G66" t="str">
        <v>SICK</v>
      </c>
      <c r="H66" t="str">
        <v>AM : onTime</v>
      </c>
      <c r="I66" t="str">
        <v>OFF</v>
      </c>
      <c r="J66" t="str">
        <v>AM : onTime</v>
      </c>
      <c r="K66" t="str">
        <v>SICK</v>
      </c>
      <c r="L66" t="str">
        <v>AM : onTime</v>
      </c>
      <c r="M66" t="str">
        <v>AM : onTime</v>
      </c>
      <c r="N66" t="str">
        <v>AL</v>
      </c>
      <c r="O66" t="str">
        <v>AM : ABS</v>
      </c>
      <c r="P66" t="str">
        <v>OFF</v>
      </c>
      <c r="Q66" t="str">
        <v>AM : DELAY</v>
      </c>
      <c r="R66" t="str">
        <v>AM : onTime</v>
      </c>
      <c r="S66" t="str">
        <v>AM : onTime</v>
      </c>
      <c r="T66" t="str">
        <v>AL</v>
      </c>
      <c r="U66" t="str">
        <v>AM : onTime</v>
      </c>
      <c r="V66" t="str">
        <v>AM : onTime</v>
      </c>
      <c r="W66" t="str">
        <v>OFF</v>
      </c>
      <c r="X66" t="str">
        <v>AL</v>
      </c>
      <c r="Y66" t="str">
        <v>AM : onTime</v>
      </c>
      <c r="Z66" t="str">
        <v>AM : onTime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</row>
    <row r="67" spans="1:37">
      <c r="A67" t="str">
        <v>Faisal Salem Al Hilfi</v>
      </c>
      <c r="B67">
        <v>80115263</v>
      </c>
      <c r="C67">
        <v>80115263</v>
      </c>
      <c r="D67" t="str">
        <v>Central</v>
      </c>
      <c r="E67" t="str">
        <v>SAF027C</v>
      </c>
      <c r="F67" t="str">
        <v>PM : onTime</v>
      </c>
      <c r="G67" t="str">
        <v>PM : DELAY</v>
      </c>
      <c r="H67" t="str">
        <v>OFF</v>
      </c>
      <c r="I67" t="str">
        <v>PM : onTime</v>
      </c>
      <c r="J67" t="str">
        <v>PM : onTime</v>
      </c>
      <c r="K67" t="str">
        <v>PM : onTime</v>
      </c>
      <c r="L67" t="str">
        <v>PM : onTime</v>
      </c>
      <c r="M67" t="str">
        <v>AL</v>
      </c>
      <c r="N67" t="str">
        <v>PM : DELAY</v>
      </c>
      <c r="O67" t="str">
        <v>OFF</v>
      </c>
      <c r="P67" t="str">
        <v>AL</v>
      </c>
      <c r="Q67" t="str">
        <v>AL</v>
      </c>
      <c r="R67" t="str">
        <v>AL</v>
      </c>
      <c r="S67" t="str">
        <v>AL</v>
      </c>
      <c r="T67" t="str">
        <v>AL</v>
      </c>
      <c r="U67" t="str">
        <v>PM : onTime</v>
      </c>
      <c r="V67" t="str">
        <v>OFF</v>
      </c>
      <c r="W67" t="str">
        <v>PM : DELAY</v>
      </c>
      <c r="X67" t="str">
        <v>PM : onTime</v>
      </c>
      <c r="Y67" t="str">
        <v>PM : DELAY</v>
      </c>
      <c r="Z67" t="str">
        <v>PM : DELAY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</row>
    <row r="68" spans="1:37">
      <c r="A68" t="str">
        <v>Abdullah Bader Al Otaibi</v>
      </c>
      <c r="B68">
        <v>80119103</v>
      </c>
      <c r="C68">
        <v>80119103</v>
      </c>
      <c r="D68" t="str">
        <v>Central</v>
      </c>
      <c r="E68" t="str">
        <v>SAF002C</v>
      </c>
      <c r="F68" t="str">
        <v>PM : onTime</v>
      </c>
      <c r="G68" t="str">
        <v>OFF</v>
      </c>
      <c r="H68" t="str">
        <v>PM : onTime</v>
      </c>
      <c r="I68" t="str">
        <v>PM : onTime</v>
      </c>
      <c r="J68" t="str">
        <v>PM : onTime</v>
      </c>
      <c r="K68" t="str">
        <v>PM : onTime</v>
      </c>
      <c r="L68" t="str">
        <v>PM : onTime</v>
      </c>
      <c r="M68" t="str">
        <v>PM : onTime</v>
      </c>
      <c r="N68" t="str">
        <v>OFF</v>
      </c>
      <c r="O68" t="str">
        <v>PM : ABS</v>
      </c>
      <c r="P68" t="str">
        <v>PM : onTime</v>
      </c>
      <c r="Q68" t="str">
        <v>PM : onTime</v>
      </c>
      <c r="R68" t="str">
        <v>AL</v>
      </c>
      <c r="S68" t="str">
        <v>PM : onTime</v>
      </c>
      <c r="T68" t="str">
        <v>PM : onTime</v>
      </c>
      <c r="U68" t="str">
        <v>OFF</v>
      </c>
      <c r="V68" t="str">
        <v>PM : DELAY</v>
      </c>
      <c r="W68" t="str">
        <v>PM : DELAY</v>
      </c>
      <c r="X68" t="str">
        <v>PM : onTime</v>
      </c>
      <c r="Y68" t="str">
        <v>PM : onTime</v>
      </c>
      <c r="Z68" t="str">
        <v>PM : onTime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</row>
    <row r="69" spans="1:37">
      <c r="A69" t="str">
        <v>Waleed Halil Al Osaimi</v>
      </c>
      <c r="B69">
        <v>80105950</v>
      </c>
      <c r="C69">
        <v>80105950</v>
      </c>
      <c r="D69" t="str">
        <v>Central</v>
      </c>
      <c r="E69" t="str">
        <v>SAF027C</v>
      </c>
      <c r="F69" t="str">
        <v>AM : onTime</v>
      </c>
      <c r="G69" t="str">
        <v>AM : onTime</v>
      </c>
      <c r="H69" t="str">
        <v>AM : onTime</v>
      </c>
      <c r="I69" t="str">
        <v>OFF</v>
      </c>
      <c r="J69" t="str">
        <v>SICK</v>
      </c>
      <c r="K69" t="str">
        <v>AM : onTime</v>
      </c>
      <c r="L69" t="str">
        <v>AM : DELAY</v>
      </c>
      <c r="M69" t="str">
        <v>AM : DELAY</v>
      </c>
      <c r="N69" t="str">
        <v>AM : DELAY</v>
      </c>
      <c r="O69" t="str">
        <v>AM : onTime</v>
      </c>
      <c r="P69" t="str">
        <v>OFF</v>
      </c>
      <c r="Q69" t="str">
        <v>PM : onTime</v>
      </c>
      <c r="R69" t="str">
        <v>AM : DELAY</v>
      </c>
      <c r="S69" t="str">
        <v>SICK</v>
      </c>
      <c r="T69" t="str">
        <v>SICK : onTime</v>
      </c>
      <c r="U69" t="str">
        <v>AM : DELAY</v>
      </c>
      <c r="V69" t="str">
        <v>AM : DELAY</v>
      </c>
      <c r="W69" t="str">
        <v>OFF</v>
      </c>
      <c r="X69" t="str">
        <v>PM : onTime</v>
      </c>
      <c r="Y69" t="str">
        <v>AM : DELAY</v>
      </c>
      <c r="Z69" t="str">
        <v>AM : DELAY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</row>
    <row r="70" spans="1:37">
      <c r="A70" t="str">
        <v>Sattam Jari Bin Sarhan</v>
      </c>
      <c r="B70">
        <v>80093219</v>
      </c>
      <c r="C70">
        <v>80093219</v>
      </c>
      <c r="D70" t="str">
        <v>Central</v>
      </c>
      <c r="E70" t="str">
        <v>SAF011C</v>
      </c>
      <c r="F70" t="str">
        <v>AM : ABS</v>
      </c>
      <c r="G70" t="str">
        <v>AM : DELAY</v>
      </c>
      <c r="H70" t="str">
        <v>AM : DELAY</v>
      </c>
      <c r="I70" t="str">
        <v>OFF</v>
      </c>
      <c r="J70" t="str">
        <v>AM : ABS</v>
      </c>
      <c r="K70" t="str">
        <v>AM : onTime</v>
      </c>
      <c r="L70" t="str">
        <v>AM : onTime</v>
      </c>
      <c r="M70" t="str">
        <v>AM : onTime</v>
      </c>
      <c r="N70" t="str">
        <v>AM : DELAY</v>
      </c>
      <c r="O70" t="str">
        <v>AM : onTime</v>
      </c>
      <c r="P70" t="str">
        <v>OFF : OverTime</v>
      </c>
      <c r="Q70" t="str">
        <v>AM : onTime</v>
      </c>
      <c r="R70" t="str">
        <v>AM : DELAY</v>
      </c>
      <c r="S70" t="str">
        <v>AM : DELAY</v>
      </c>
      <c r="T70" t="str">
        <v>AM : onTime</v>
      </c>
      <c r="U70" t="str">
        <v>AM : onTime</v>
      </c>
      <c r="V70" t="str">
        <v>AM : DELAY</v>
      </c>
      <c r="W70" t="str">
        <v>OFF</v>
      </c>
      <c r="X70" t="str">
        <v>AM : onTime</v>
      </c>
      <c r="Y70" t="str">
        <v>AM : DELAY</v>
      </c>
      <c r="Z70" t="str">
        <v>AM : DELAY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</row>
    <row r="71" spans="1:37">
      <c r="A71" t="str">
        <v>Fahad Saeed AlMadhi</v>
      </c>
      <c r="B71">
        <v>80030300</v>
      </c>
      <c r="C71">
        <v>80030300</v>
      </c>
      <c r="D71" t="str">
        <v>Central</v>
      </c>
      <c r="E71" t="str">
        <v>SAF026C</v>
      </c>
      <c r="F71" t="str">
        <v>AM : DELAY</v>
      </c>
      <c r="G71" t="str">
        <v>AM : onTime</v>
      </c>
      <c r="H71" t="str">
        <v>AM : onTime</v>
      </c>
      <c r="I71" t="str">
        <v>OFF</v>
      </c>
      <c r="J71" t="str">
        <v>AM : DELAY</v>
      </c>
      <c r="K71" t="str">
        <v>AM : OverTime</v>
      </c>
      <c r="L71" t="str">
        <v>AM : onTime</v>
      </c>
      <c r="M71" t="str">
        <v>AM : onTime</v>
      </c>
      <c r="N71" t="str">
        <v>AM : OverTime</v>
      </c>
      <c r="O71" t="str">
        <v>AM : onTime</v>
      </c>
      <c r="P71" t="str">
        <v>OFF</v>
      </c>
      <c r="Q71" t="str">
        <v>AL</v>
      </c>
      <c r="R71" t="str">
        <v>AL</v>
      </c>
      <c r="S71" t="str">
        <v>AL</v>
      </c>
      <c r="T71" t="str">
        <v>AL</v>
      </c>
      <c r="U71" t="str">
        <v>AL</v>
      </c>
      <c r="V71" t="str">
        <v>AL</v>
      </c>
      <c r="W71" t="str">
        <v>AL</v>
      </c>
      <c r="X71" t="str">
        <v>AL</v>
      </c>
      <c r="Y71" t="str">
        <v>AL</v>
      </c>
      <c r="Z71" t="str">
        <v>AL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</row>
    <row r="72" spans="1:37">
      <c r="A72" t="str">
        <v>Mohammed Assaf AlOtaibi</v>
      </c>
      <c r="B72">
        <v>80000001</v>
      </c>
      <c r="C72">
        <v>80000001</v>
      </c>
      <c r="D72" t="str">
        <v>Central</v>
      </c>
      <c r="E72" t="str">
        <v>SAF023C</v>
      </c>
      <c r="F72" t="str">
        <v>SICK</v>
      </c>
      <c r="G72" t="str">
        <v>SICK</v>
      </c>
      <c r="H72" t="str">
        <v>SICK</v>
      </c>
      <c r="I72" t="str">
        <v>SICK</v>
      </c>
      <c r="J72" t="str">
        <v>SICK</v>
      </c>
      <c r="K72" t="str">
        <v>SICK</v>
      </c>
      <c r="L72" t="str">
        <v>SICK</v>
      </c>
      <c r="M72" t="str">
        <v>SICK</v>
      </c>
      <c r="N72" t="str">
        <v>SICK</v>
      </c>
      <c r="O72" t="str">
        <v>SICK</v>
      </c>
      <c r="P72" t="str">
        <v>SICK</v>
      </c>
      <c r="Q72" t="str">
        <v>SICK</v>
      </c>
      <c r="R72" t="str">
        <v>SICK</v>
      </c>
      <c r="S72" t="str">
        <v>SICK</v>
      </c>
      <c r="T72" t="str">
        <v>SICK</v>
      </c>
      <c r="U72" t="str">
        <v>SICK</v>
      </c>
      <c r="V72" t="str">
        <v>SICK</v>
      </c>
      <c r="W72" t="str">
        <v>SICK</v>
      </c>
      <c r="X72" t="str">
        <v>SICK</v>
      </c>
      <c r="Y72" t="str">
        <v>SICK</v>
      </c>
      <c r="Z72" t="str">
        <v>SICK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</row>
    <row r="73" spans="1:37">
      <c r="A73" t="str">
        <v>Khalid Saud Alqahtani</v>
      </c>
      <c r="B73">
        <v>80129736</v>
      </c>
      <c r="C73">
        <v>80129736</v>
      </c>
      <c r="D73" t="str">
        <v>Central</v>
      </c>
      <c r="E73" t="str">
        <v>SAF018C</v>
      </c>
      <c r="F73" t="str">
        <v>AM : onTime</v>
      </c>
      <c r="G73" t="str">
        <v>AM : onTime</v>
      </c>
      <c r="H73" t="str">
        <v>AM : onTime</v>
      </c>
      <c r="I73" t="str">
        <v>OFF</v>
      </c>
      <c r="J73" t="str">
        <v>AM : onTime</v>
      </c>
      <c r="K73" t="str">
        <v>AM : onTime</v>
      </c>
      <c r="L73" t="str">
        <v>AM : onTime</v>
      </c>
      <c r="M73" t="str">
        <v>AM : onTime</v>
      </c>
      <c r="N73" t="str">
        <v>AM : DELAY</v>
      </c>
      <c r="O73" t="str">
        <v>AM : onTime</v>
      </c>
      <c r="P73" t="str">
        <v>OFF</v>
      </c>
      <c r="Q73" t="str">
        <v>AM : onTime</v>
      </c>
      <c r="R73" t="str">
        <v>AM : onTime</v>
      </c>
      <c r="S73" t="str">
        <v>AM : onTime</v>
      </c>
      <c r="T73" t="str">
        <v>AM : onTime</v>
      </c>
      <c r="U73" t="str">
        <v>AM : onTime</v>
      </c>
      <c r="V73" t="str">
        <v>AM : onTime</v>
      </c>
      <c r="W73" t="str">
        <v>OFF</v>
      </c>
      <c r="X73" t="str">
        <v>AM : onTime</v>
      </c>
      <c r="Y73" t="str">
        <v>AM : onTime</v>
      </c>
      <c r="Z73" t="str">
        <v>AM : DELAY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</row>
    <row r="74" spans="1:37">
      <c r="A74" t="str">
        <v>Meshary Abdullah Al-Subaih</v>
      </c>
      <c r="B74">
        <v>80081943</v>
      </c>
      <c r="C74">
        <v>80081943</v>
      </c>
      <c r="D74" t="str">
        <v>Central</v>
      </c>
      <c r="E74" t="str">
        <v>SAF023C</v>
      </c>
      <c r="F74" t="str">
        <v>AM : onTime</v>
      </c>
      <c r="G74" t="str">
        <v>AM : onTime</v>
      </c>
      <c r="H74" t="str">
        <v>AM : onTime</v>
      </c>
      <c r="I74" t="str">
        <v>OFF</v>
      </c>
      <c r="J74" t="str">
        <v>AM : DELAY</v>
      </c>
      <c r="K74" t="str">
        <v>AM : onTime</v>
      </c>
      <c r="L74" t="str">
        <v>AM : onTime</v>
      </c>
      <c r="M74" t="str">
        <v>AM : onTime</v>
      </c>
      <c r="N74" t="str">
        <v>AM : DELAY</v>
      </c>
      <c r="O74" t="str">
        <v>AM : onTime</v>
      </c>
      <c r="P74" t="str">
        <v>OFF</v>
      </c>
      <c r="Q74" t="str">
        <v>AM : DELAY</v>
      </c>
      <c r="R74" t="str">
        <v>AM : onTime</v>
      </c>
      <c r="S74" t="str">
        <v>AM : onTime</v>
      </c>
      <c r="T74" t="str">
        <v>AM : DELAY</v>
      </c>
      <c r="U74" t="str">
        <v>AM : onTime</v>
      </c>
      <c r="V74" t="str">
        <v>AM : DELAY</v>
      </c>
      <c r="W74" t="str">
        <v>OFF</v>
      </c>
      <c r="X74" t="str">
        <v>AM : onTime</v>
      </c>
      <c r="Y74" t="str">
        <v>AM : onTime</v>
      </c>
      <c r="Z74" t="str">
        <v>AM : onTime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</row>
    <row r="75" spans="1:37">
      <c r="A75" t="str">
        <v>Naif Sahal Al otaibi</v>
      </c>
      <c r="B75">
        <v>80057719</v>
      </c>
      <c r="C75">
        <v>80057719</v>
      </c>
      <c r="D75" t="str">
        <v>Central</v>
      </c>
      <c r="E75" t="str">
        <v>SAF025C</v>
      </c>
      <c r="F75" t="str">
        <v>AM : onTime</v>
      </c>
      <c r="G75" t="str">
        <v>AM : DELAY</v>
      </c>
      <c r="H75" t="str">
        <v>AM : DELAY</v>
      </c>
      <c r="I75" t="str">
        <v>PM : onTime</v>
      </c>
      <c r="J75" t="str">
        <v>AL : OverTime</v>
      </c>
      <c r="K75" t="str">
        <v>AM : DELAY</v>
      </c>
      <c r="L75" t="str">
        <v>AM : DELAY</v>
      </c>
      <c r="M75" t="str">
        <v>AM : DELAY</v>
      </c>
      <c r="N75" t="str">
        <v>AM : DELAY</v>
      </c>
      <c r="O75" t="str">
        <v>AM : onTime</v>
      </c>
      <c r="P75" t="str">
        <v>PM : onTime</v>
      </c>
      <c r="Q75" t="str">
        <v>OFF</v>
      </c>
      <c r="R75" t="str">
        <v>AM : onTime</v>
      </c>
      <c r="S75" t="str">
        <v>AM : ABS</v>
      </c>
      <c r="T75" t="str">
        <v>AM : DELAY</v>
      </c>
      <c r="U75" t="str">
        <v>AM : DELAY</v>
      </c>
      <c r="V75" t="str">
        <v>AM : DELAY</v>
      </c>
      <c r="W75" t="str">
        <v>PM : onTime</v>
      </c>
      <c r="X75" t="str">
        <v>OFF : OverTime</v>
      </c>
      <c r="Y75" t="str">
        <v>AM : DELAY</v>
      </c>
      <c r="Z75" t="str">
        <v>AM : DELAY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</row>
    <row r="76" spans="1:37">
      <c r="A76" t="str">
        <v>Mashael Fahad Al Dawalani</v>
      </c>
      <c r="B76">
        <v>80111667</v>
      </c>
      <c r="C76">
        <v>80111667</v>
      </c>
      <c r="D76" t="str">
        <v>Central</v>
      </c>
      <c r="E76" t="str">
        <v>SAF034C</v>
      </c>
      <c r="F76" t="str">
        <v>AM : DELAY</v>
      </c>
      <c r="G76" t="str">
        <v>AM : onTime</v>
      </c>
      <c r="H76" t="str">
        <v>AM : DELAY</v>
      </c>
      <c r="I76" t="str">
        <v>OFF</v>
      </c>
      <c r="J76" t="str">
        <v>AM : onTime</v>
      </c>
      <c r="K76" t="str">
        <v>AM : DELAY</v>
      </c>
      <c r="L76" t="str">
        <v>AM : DELAY</v>
      </c>
      <c r="M76" t="str">
        <v>AM : onTime</v>
      </c>
      <c r="N76" t="str">
        <v>AM : DELAY</v>
      </c>
      <c r="O76" t="str">
        <v>AM : onTime</v>
      </c>
      <c r="P76" t="str">
        <v>OFF</v>
      </c>
      <c r="Q76" t="str">
        <v>PM : DELAY</v>
      </c>
      <c r="R76" t="str">
        <v>PM : onTime</v>
      </c>
      <c r="S76" t="str">
        <v>PM : onTime</v>
      </c>
      <c r="T76" t="str">
        <v>PM : onTime</v>
      </c>
      <c r="U76" t="str">
        <v>PM : onTime</v>
      </c>
      <c r="V76" t="str">
        <v>OFF</v>
      </c>
      <c r="W76" t="str">
        <v>PM : onTime</v>
      </c>
      <c r="X76" t="str">
        <v>PM : DELAY</v>
      </c>
      <c r="Y76" t="str">
        <v>AL</v>
      </c>
      <c r="Z76" t="str">
        <v>PM : DELAY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</row>
    <row r="77" spans="1:37">
      <c r="A77" t="str">
        <v>Bassam Naif Al Otaibi</v>
      </c>
      <c r="B77">
        <v>80111573</v>
      </c>
      <c r="C77">
        <v>80111573</v>
      </c>
      <c r="D77" t="str">
        <v>Central</v>
      </c>
      <c r="E77" t="str">
        <v>SAF035C</v>
      </c>
      <c r="F77" t="str">
        <v>PM : onTime</v>
      </c>
      <c r="G77" t="str">
        <v>AL</v>
      </c>
      <c r="H77" t="str">
        <v>PM : DELAY</v>
      </c>
      <c r="I77" t="str">
        <v>PM : DELAY</v>
      </c>
      <c r="J77" t="str">
        <v>OFF</v>
      </c>
      <c r="K77" t="str">
        <v>PM : onTime</v>
      </c>
      <c r="L77" t="str">
        <v>PM : DELAY</v>
      </c>
      <c r="M77" t="str">
        <v>PM : onTime</v>
      </c>
      <c r="N77" t="str">
        <v>PM : DELAY</v>
      </c>
      <c r="O77" t="str">
        <v>PM : onTime</v>
      </c>
      <c r="P77" t="str">
        <v>PM : onTime</v>
      </c>
      <c r="Q77" t="str">
        <v>OFF</v>
      </c>
      <c r="R77" t="str">
        <v>PM : DELAY</v>
      </c>
      <c r="S77" t="str">
        <v>PM : onTime</v>
      </c>
      <c r="T77" t="str">
        <v>PM : onTime</v>
      </c>
      <c r="U77" t="str">
        <v>AM : DELAY</v>
      </c>
      <c r="V77" t="str">
        <v>PM : onTime</v>
      </c>
      <c r="W77" t="str">
        <v>OFF</v>
      </c>
      <c r="X77" t="str">
        <v>PM : onTime</v>
      </c>
      <c r="Y77" t="str">
        <v>AM : DELAY</v>
      </c>
      <c r="Z77" t="str">
        <v>AM : DELAY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</row>
    <row r="78" spans="1:37">
      <c r="A78" t="str">
        <v>Faris Suleiman Al-Huwaidi</v>
      </c>
      <c r="B78">
        <v>80089125</v>
      </c>
      <c r="C78">
        <v>80089125</v>
      </c>
      <c r="D78" t="str">
        <v>Central</v>
      </c>
      <c r="E78" t="str">
        <v>SAF027C</v>
      </c>
      <c r="F78" t="str">
        <v>PM : onTime</v>
      </c>
      <c r="G78" t="str">
        <v>PM : onTime</v>
      </c>
      <c r="H78" t="str">
        <v>PM : DELAY</v>
      </c>
      <c r="I78" t="str">
        <v>PM : DELAY</v>
      </c>
      <c r="J78" t="str">
        <v>OFF</v>
      </c>
      <c r="K78" t="str">
        <v>PM : onTime</v>
      </c>
      <c r="L78" t="str">
        <v>PM : DELAY</v>
      </c>
      <c r="M78" t="str">
        <v>AL</v>
      </c>
      <c r="N78" t="str">
        <v>PM : DELAY</v>
      </c>
      <c r="O78" t="str">
        <v>PM : ABS</v>
      </c>
      <c r="P78" t="str">
        <v>PM : onTime</v>
      </c>
      <c r="Q78" t="str">
        <v>OFF</v>
      </c>
      <c r="R78" t="str">
        <v>PM : DELAY</v>
      </c>
      <c r="S78" t="str">
        <v>PM : DELAY</v>
      </c>
      <c r="T78" t="str">
        <v>AL</v>
      </c>
      <c r="U78" t="str">
        <v>PM : DELAY</v>
      </c>
      <c r="V78" t="str">
        <v>PM : DELAY</v>
      </c>
      <c r="W78" t="str">
        <v>PM : DELAY</v>
      </c>
      <c r="X78" t="str">
        <v>OFF</v>
      </c>
      <c r="Y78" t="str">
        <v>PM : DELAY</v>
      </c>
      <c r="Z78" t="str">
        <v>PM : DELAY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</row>
    <row r="79" spans="1:37">
      <c r="A79" t="str">
        <v>Abdulaziz Saud Al Mutairi</v>
      </c>
      <c r="B79">
        <v>80094633</v>
      </c>
      <c r="C79">
        <v>80094633</v>
      </c>
      <c r="D79" t="str">
        <v>Central</v>
      </c>
      <c r="E79" t="str">
        <v>SAF006C</v>
      </c>
      <c r="F79" t="str">
        <v>PM : DELAY</v>
      </c>
      <c r="G79" t="str">
        <v>PM : onTime</v>
      </c>
      <c r="H79" t="str">
        <v>PM : onTime</v>
      </c>
      <c r="I79" t="str">
        <v>PM : onTime</v>
      </c>
      <c r="J79" t="str">
        <v>AL</v>
      </c>
      <c r="K79" t="str">
        <v>AL</v>
      </c>
      <c r="L79" t="str">
        <v>AL</v>
      </c>
      <c r="M79" t="str">
        <v>AL</v>
      </c>
      <c r="N79" t="str">
        <v>AL</v>
      </c>
      <c r="O79" t="str">
        <v>AL</v>
      </c>
      <c r="P79" t="str">
        <v>AL</v>
      </c>
      <c r="Q79" t="str">
        <v>OFF : OverTime</v>
      </c>
      <c r="R79" t="str">
        <v>PM : onTime</v>
      </c>
      <c r="S79" t="str">
        <v>PM : onTime</v>
      </c>
      <c r="T79" t="str">
        <v>PM : onTime</v>
      </c>
      <c r="U79" t="str">
        <v>PM : onTime</v>
      </c>
      <c r="V79" t="str">
        <v>PM : onTime</v>
      </c>
      <c r="W79" t="str">
        <v>PM : onTime</v>
      </c>
      <c r="X79" t="str">
        <v>OFF : OverTime</v>
      </c>
      <c r="Y79" t="str">
        <v>PM : onTime</v>
      </c>
      <c r="Z79" t="str">
        <v>PM : onTime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</row>
    <row r="80" spans="1:37">
      <c r="A80" t="str">
        <v>Amar Hamoud Alotaibi</v>
      </c>
      <c r="B80">
        <v>80129739</v>
      </c>
      <c r="C80">
        <v>80129739</v>
      </c>
      <c r="D80" t="str">
        <v>Central</v>
      </c>
      <c r="E80" t="str">
        <v>SAF015C</v>
      </c>
      <c r="F80" t="str">
        <v>AM : onTime</v>
      </c>
      <c r="G80" t="str">
        <v>AM : onTime</v>
      </c>
      <c r="H80" t="str">
        <v>AM : DELAY</v>
      </c>
      <c r="I80" t="str">
        <v>OFF</v>
      </c>
      <c r="J80" t="str">
        <v>OFF : OverTime</v>
      </c>
      <c r="K80" t="str">
        <v>AM : onTime</v>
      </c>
      <c r="L80" t="str">
        <v>AM : onTime</v>
      </c>
      <c r="M80" t="str">
        <v>AM : onTime</v>
      </c>
      <c r="N80" t="str">
        <v>AM : DELAY</v>
      </c>
      <c r="O80" t="str">
        <v>AM : onTime</v>
      </c>
      <c r="P80" t="str">
        <v>OFF</v>
      </c>
      <c r="Q80" t="str">
        <v>OFF : OverTime</v>
      </c>
      <c r="R80" t="str">
        <v>AM : onTime</v>
      </c>
      <c r="S80" t="str">
        <v>AM : onTime</v>
      </c>
      <c r="T80" t="str">
        <v>AM : onTime</v>
      </c>
      <c r="U80" t="str">
        <v>AM : onTime</v>
      </c>
      <c r="V80" t="str">
        <v>AM : onTime</v>
      </c>
      <c r="W80" t="str">
        <v>OFF</v>
      </c>
      <c r="X80" t="str">
        <v>OFF : OverTime</v>
      </c>
      <c r="Y80" t="str">
        <v>AM : onTime</v>
      </c>
      <c r="Z80" t="str">
        <v>AM : DELAY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</row>
    <row r="81" spans="1:37">
      <c r="A81" t="str">
        <v>Obaid Fahed Al Dawsari</v>
      </c>
      <c r="B81">
        <v>80105987</v>
      </c>
      <c r="C81">
        <v>80105987</v>
      </c>
      <c r="D81" t="str">
        <v>Central</v>
      </c>
      <c r="E81" t="str">
        <v>SAF008C</v>
      </c>
      <c r="F81" t="str">
        <v>AM : onTime</v>
      </c>
      <c r="G81" t="str">
        <v>AM : onTime</v>
      </c>
      <c r="H81" t="str">
        <v>AM : onTime</v>
      </c>
      <c r="I81" t="str">
        <v>OFF</v>
      </c>
      <c r="J81" t="str">
        <v>AM : DELAY</v>
      </c>
      <c r="K81" t="str">
        <v>AM : onTime</v>
      </c>
      <c r="L81" t="str">
        <v>AL</v>
      </c>
      <c r="M81" t="str">
        <v>AL</v>
      </c>
      <c r="N81" t="str">
        <v>AL</v>
      </c>
      <c r="O81" t="str">
        <v>AL</v>
      </c>
      <c r="P81" t="str">
        <v>PM : onTime</v>
      </c>
      <c r="Q81" t="str">
        <v>OFF</v>
      </c>
      <c r="R81" t="str">
        <v>AM : onTime</v>
      </c>
      <c r="S81" t="str">
        <v>AM : onTime</v>
      </c>
      <c r="T81" t="str">
        <v>AM : onTime</v>
      </c>
      <c r="U81" t="str">
        <v>AM : onTime</v>
      </c>
      <c r="V81" t="str">
        <v>AM : onTime</v>
      </c>
      <c r="W81" t="str">
        <v>OFF</v>
      </c>
      <c r="X81" t="str">
        <v>AM : onTime</v>
      </c>
      <c r="Y81" t="str">
        <v>AM : onTime</v>
      </c>
      <c r="Z81" t="str">
        <v>AM : DELAY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</row>
    <row r="82" spans="1:37">
      <c r="A82" t="str">
        <v>Bader Fahad Al Otaibi</v>
      </c>
      <c r="B82">
        <v>80105959</v>
      </c>
      <c r="C82">
        <v>80105959</v>
      </c>
      <c r="D82" t="str">
        <v>Central</v>
      </c>
      <c r="E82" t="str">
        <v>SAF026C</v>
      </c>
      <c r="F82" t="str">
        <v>PM : DELAY</v>
      </c>
      <c r="G82" t="str">
        <v>PM : DELAY</v>
      </c>
      <c r="H82" t="str">
        <v>PM : DELAY</v>
      </c>
      <c r="I82" t="str">
        <v>PM : DELAY</v>
      </c>
      <c r="J82" t="str">
        <v>OFF</v>
      </c>
      <c r="K82" t="str">
        <v>PM : onTime</v>
      </c>
      <c r="L82" t="str">
        <v>PM : onTime</v>
      </c>
      <c r="M82" t="str">
        <v>PM : DELAY</v>
      </c>
      <c r="N82" t="str">
        <v>PM : onTime</v>
      </c>
      <c r="O82" t="str">
        <v>PM : ABS</v>
      </c>
      <c r="P82" t="str">
        <v>PM : DELAY</v>
      </c>
      <c r="Q82" t="str">
        <v>OFF</v>
      </c>
      <c r="R82" t="str">
        <v>PM : onTime</v>
      </c>
      <c r="S82" t="str">
        <v>SICK</v>
      </c>
      <c r="T82" t="str">
        <v>PM : DELAY</v>
      </c>
      <c r="U82" t="str">
        <v>PM : DELAY</v>
      </c>
      <c r="V82" t="str">
        <v>PM : DELAY</v>
      </c>
      <c r="W82" t="str">
        <v>PM : DELAY</v>
      </c>
      <c r="X82" t="str">
        <v>OFF</v>
      </c>
      <c r="Y82" t="str">
        <v>OFF</v>
      </c>
      <c r="Z82" t="str">
        <v>PM : DELAY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</row>
    <row r="83" spans="1:37">
      <c r="A83" t="str">
        <v>Nasser Mansour Altulayhi</v>
      </c>
      <c r="B83">
        <v>80129759</v>
      </c>
      <c r="C83">
        <v>80129759</v>
      </c>
      <c r="D83" t="str">
        <v>Central</v>
      </c>
      <c r="E83" t="str">
        <v>SAF037C</v>
      </c>
      <c r="F83" t="str">
        <v>AL</v>
      </c>
      <c r="G83" t="str">
        <v>AL</v>
      </c>
      <c r="H83" t="str">
        <v>AL</v>
      </c>
      <c r="I83" t="str">
        <v>AL</v>
      </c>
      <c r="J83" t="str">
        <v>AL</v>
      </c>
      <c r="K83" t="str">
        <v>AL</v>
      </c>
      <c r="L83" t="str">
        <v>AL</v>
      </c>
      <c r="M83" t="str">
        <v>AL</v>
      </c>
      <c r="N83" t="str">
        <v>AL</v>
      </c>
      <c r="O83" t="str">
        <v>AL</v>
      </c>
      <c r="P83" t="str">
        <v>AL</v>
      </c>
      <c r="Q83" t="str">
        <v>AL</v>
      </c>
      <c r="R83" t="str">
        <v>AL</v>
      </c>
      <c r="S83" t="str">
        <v>AM : onTime</v>
      </c>
      <c r="T83" t="str">
        <v>AM : DELAY</v>
      </c>
      <c r="U83" t="str">
        <v>AM : onTime</v>
      </c>
      <c r="V83" t="str">
        <v>AM : onTime</v>
      </c>
      <c r="W83" t="str">
        <v>OFF</v>
      </c>
      <c r="X83" t="str">
        <v>AM : DELAY</v>
      </c>
      <c r="Y83" t="str">
        <v>AM : onTime</v>
      </c>
      <c r="Z83" t="str">
        <v>AM : onTime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</row>
    <row r="84" spans="1:37">
      <c r="A84" t="str">
        <v>Abdullah Khallid Alanazi</v>
      </c>
      <c r="B84">
        <v>80129742</v>
      </c>
      <c r="C84">
        <v>80129742</v>
      </c>
      <c r="D84" t="str">
        <v>Central</v>
      </c>
      <c r="E84" t="str">
        <v>SAF033C</v>
      </c>
      <c r="F84" t="str">
        <v>AM : DELAY</v>
      </c>
      <c r="G84" t="str">
        <v>AM : DELAY</v>
      </c>
      <c r="H84" t="str">
        <v>AM : DELAY</v>
      </c>
      <c r="I84" t="str">
        <v>OFF : OverTime</v>
      </c>
      <c r="J84" t="str">
        <v>OFF</v>
      </c>
      <c r="K84" t="str">
        <v>AM : DELAY</v>
      </c>
      <c r="L84" t="str">
        <v>AM : DELAY</v>
      </c>
      <c r="M84" t="str">
        <v>AM : DELAY</v>
      </c>
      <c r="N84" t="str">
        <v>AM : DELAY</v>
      </c>
      <c r="O84" t="str">
        <v>AM : ABS</v>
      </c>
      <c r="P84" t="str">
        <v>OFF : OverTime</v>
      </c>
      <c r="Q84" t="str">
        <v>OFF</v>
      </c>
      <c r="R84" t="str">
        <v>AM : onTime</v>
      </c>
      <c r="S84" t="str">
        <v>AM : onTime</v>
      </c>
      <c r="T84" t="str">
        <v>AM : onTime</v>
      </c>
      <c r="U84" t="str">
        <v>AM : onTime</v>
      </c>
      <c r="V84" t="str">
        <v>AM : onTime</v>
      </c>
      <c r="W84" t="str">
        <v>OFF</v>
      </c>
      <c r="X84" t="str">
        <v>OFF : OverTime</v>
      </c>
      <c r="Y84" t="str">
        <v>AM : onTime</v>
      </c>
      <c r="Z84" t="str">
        <v>AM : onTime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</row>
    <row r="85" spans="1:37">
      <c r="A85" t="str">
        <v>Abdullah Ayed Almutairi</v>
      </c>
      <c r="B85">
        <v>80127482</v>
      </c>
      <c r="C85">
        <v>80127482</v>
      </c>
      <c r="D85" t="str">
        <v>Central</v>
      </c>
      <c r="E85" t="str">
        <v>SAF015C</v>
      </c>
      <c r="F85" t="str">
        <v>SICK</v>
      </c>
      <c r="G85" t="str">
        <v>SICK</v>
      </c>
      <c r="H85" t="str">
        <v>SICK</v>
      </c>
      <c r="I85" t="str">
        <v>SICK</v>
      </c>
      <c r="J85" t="str">
        <v>SICK</v>
      </c>
      <c r="K85" t="str">
        <v>SICK</v>
      </c>
      <c r="L85" t="str">
        <v>SICK</v>
      </c>
      <c r="M85" t="str">
        <v>SICK</v>
      </c>
      <c r="N85" t="str">
        <v>SICK</v>
      </c>
      <c r="O85" t="str">
        <v>SICK</v>
      </c>
      <c r="P85" t="str">
        <v>PM : onTime</v>
      </c>
      <c r="Q85" t="str">
        <v>OFF</v>
      </c>
      <c r="R85" t="str">
        <v>PM : onTime</v>
      </c>
      <c r="S85" t="str">
        <v>PM : onTime</v>
      </c>
      <c r="T85" t="str">
        <v>PM : onTime</v>
      </c>
      <c r="U85" t="str">
        <v>PM : onTime</v>
      </c>
      <c r="V85" t="str">
        <v>PM : onTime</v>
      </c>
      <c r="W85" t="str">
        <v>PM : onTime</v>
      </c>
      <c r="X85" t="str">
        <v>OFF</v>
      </c>
      <c r="Y85" t="str">
        <v>PM : onTime</v>
      </c>
      <c r="Z85" t="str">
        <v>PM : onTime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</row>
    <row r="86" spans="1:37">
      <c r="A86" t="str">
        <v>Rawan Saad AlQahtani</v>
      </c>
      <c r="B86">
        <v>80093227</v>
      </c>
      <c r="C86">
        <v>80093227</v>
      </c>
      <c r="D86" t="str">
        <v>Central</v>
      </c>
      <c r="E86" t="str">
        <v>SAF036C</v>
      </c>
      <c r="F86" t="str">
        <v>AM : DELAY</v>
      </c>
      <c r="G86" t="str">
        <v>AL</v>
      </c>
      <c r="H86" t="str">
        <v>AL</v>
      </c>
      <c r="I86" t="str">
        <v>AL</v>
      </c>
      <c r="J86" t="str">
        <v>AL</v>
      </c>
      <c r="K86" t="str">
        <v>AL</v>
      </c>
      <c r="L86" t="str">
        <v>AL</v>
      </c>
      <c r="M86" t="str">
        <v>AL</v>
      </c>
      <c r="N86" t="str">
        <v>AL</v>
      </c>
      <c r="O86" t="str">
        <v>AL</v>
      </c>
      <c r="P86" t="str">
        <v>AL</v>
      </c>
      <c r="Q86" t="str">
        <v>AL</v>
      </c>
      <c r="R86" t="str">
        <v>AL</v>
      </c>
      <c r="S86" t="str">
        <v>AL</v>
      </c>
      <c r="T86" t="str">
        <v>AL : OverTime</v>
      </c>
      <c r="U86" t="str">
        <v>AL</v>
      </c>
      <c r="V86" t="str">
        <v>AL</v>
      </c>
      <c r="W86" t="str">
        <v>OFF</v>
      </c>
      <c r="X86" t="str">
        <v>PM : DELAY</v>
      </c>
      <c r="Y86" t="str">
        <v>PM : DELAY</v>
      </c>
      <c r="Z86" t="str">
        <v>PM : DELAY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</row>
    <row r="87" spans="1:37">
      <c r="A87" t="str">
        <v>Khalid Abdulhadi Alotaibi</v>
      </c>
      <c r="B87">
        <v>80127511</v>
      </c>
      <c r="C87">
        <v>80127511</v>
      </c>
      <c r="D87" t="str">
        <v>Central</v>
      </c>
      <c r="E87" t="str">
        <v>SAF017C</v>
      </c>
      <c r="F87" t="str">
        <v>AM : onTime</v>
      </c>
      <c r="G87" t="str">
        <v>AM : onTime</v>
      </c>
      <c r="H87" t="str">
        <v>OFF</v>
      </c>
      <c r="I87" t="str">
        <v>PM : DELAY</v>
      </c>
      <c r="J87" t="str">
        <v>PM : DELAY</v>
      </c>
      <c r="K87" t="str">
        <v>AM : onTime</v>
      </c>
      <c r="L87" t="str">
        <v>AM : onTime</v>
      </c>
      <c r="M87" t="str">
        <v>AM : DELAY</v>
      </c>
      <c r="N87" t="str">
        <v>AM : DELAY</v>
      </c>
      <c r="O87" t="str">
        <v>AM : onTime</v>
      </c>
      <c r="P87" t="str">
        <v>OFF</v>
      </c>
      <c r="Q87" t="str">
        <v>PM : onTime</v>
      </c>
      <c r="R87" t="str">
        <v>PM : onTime</v>
      </c>
      <c r="S87" t="str">
        <v>PM : onTime</v>
      </c>
      <c r="T87" t="str">
        <v>PM : onTime</v>
      </c>
      <c r="U87" t="str">
        <v>PM : DELAY</v>
      </c>
      <c r="V87" t="str">
        <v>PM : onTime</v>
      </c>
      <c r="W87" t="str">
        <v>OFF : OverTime</v>
      </c>
      <c r="X87" t="str">
        <v>PM : DELAY</v>
      </c>
      <c r="Y87" t="str">
        <v>PM : onTime</v>
      </c>
      <c r="Z87" t="str">
        <v>PM : onTime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</row>
    <row r="88" spans="1:37">
      <c r="A88" t="str">
        <v>Fahad Saad Al Dawsari</v>
      </c>
      <c r="B88">
        <v>80118137</v>
      </c>
      <c r="C88">
        <v>80118137</v>
      </c>
      <c r="D88" t="str">
        <v>Central</v>
      </c>
      <c r="E88" t="str">
        <v>SAF018C</v>
      </c>
      <c r="F88" t="str">
        <v>AL</v>
      </c>
      <c r="G88" t="str">
        <v>PM : onTime</v>
      </c>
      <c r="H88" t="str">
        <v>PM : DELAY</v>
      </c>
      <c r="I88" t="str">
        <v>PM : onTime</v>
      </c>
      <c r="J88" t="str">
        <v>OFF</v>
      </c>
      <c r="K88" t="str">
        <v>PM : DELAY</v>
      </c>
      <c r="L88" t="str">
        <v>PM : onTime</v>
      </c>
      <c r="M88" t="str">
        <v>AL</v>
      </c>
      <c r="N88" t="str">
        <v>PM : onTime</v>
      </c>
      <c r="O88" t="str">
        <v>PM : ABS</v>
      </c>
      <c r="P88" t="str">
        <v>PM : onTime</v>
      </c>
      <c r="Q88" t="str">
        <v>OFF</v>
      </c>
      <c r="R88" t="str">
        <v>PM : DELAY</v>
      </c>
      <c r="S88" t="str">
        <v>PM : onTime</v>
      </c>
      <c r="T88" t="str">
        <v>PM : onTime</v>
      </c>
      <c r="U88" t="str">
        <v>PM : onTime</v>
      </c>
      <c r="V88" t="str">
        <v>PM : DELAY</v>
      </c>
      <c r="W88" t="str">
        <v>PM : onTime</v>
      </c>
      <c r="X88" t="str">
        <v>OFF</v>
      </c>
      <c r="Y88" t="str">
        <v>PM : DELAY</v>
      </c>
      <c r="Z88" t="str">
        <v>PM : onTime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</row>
    <row r="89" spans="1:37">
      <c r="A89" t="str">
        <v>Abdulrahman Aloush Alkahtani</v>
      </c>
      <c r="B89">
        <v>80128326</v>
      </c>
      <c r="C89">
        <v>80128326</v>
      </c>
      <c r="D89" t="str">
        <v>Central</v>
      </c>
      <c r="E89" t="str">
        <v>SAF027C</v>
      </c>
      <c r="F89" t="str">
        <v>AM : onTime</v>
      </c>
      <c r="G89" t="str">
        <v>AM : onTime</v>
      </c>
      <c r="H89" t="str">
        <v>AM : onTime</v>
      </c>
      <c r="I89" t="str">
        <v>OFF</v>
      </c>
      <c r="J89" t="str">
        <v>AM : DELAY</v>
      </c>
      <c r="K89" t="str">
        <v>AM : DELAY</v>
      </c>
      <c r="L89" t="str">
        <v>AM : DELAY</v>
      </c>
      <c r="M89" t="str">
        <v>AL</v>
      </c>
      <c r="N89" t="str">
        <v>AM : DELAY</v>
      </c>
      <c r="O89" t="str">
        <v>AM : DELAY</v>
      </c>
      <c r="P89" t="str">
        <v>OFF</v>
      </c>
      <c r="Q89" t="str">
        <v>AM : DELAY</v>
      </c>
      <c r="R89" t="str">
        <v>AM : DELAY</v>
      </c>
      <c r="S89" t="str">
        <v>AM : DELAY</v>
      </c>
      <c r="T89" t="str">
        <v>AM : onTime</v>
      </c>
      <c r="U89" t="str">
        <v>AL</v>
      </c>
      <c r="V89" t="str">
        <v>AM : DELAY</v>
      </c>
      <c r="W89" t="str">
        <v>OFF</v>
      </c>
      <c r="X89" t="str">
        <v>AM : DELAY</v>
      </c>
      <c r="Y89" t="str">
        <v>AM : DELAY</v>
      </c>
      <c r="Z89" t="str">
        <v>AM : ABS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</row>
    <row r="90" spans="1:37">
      <c r="A90" t="str">
        <v>Abdulrahman Turki Alaydaa</v>
      </c>
      <c r="B90">
        <v>80129758</v>
      </c>
      <c r="C90">
        <v>80129758</v>
      </c>
      <c r="D90" t="str">
        <v>Central</v>
      </c>
      <c r="E90" t="str">
        <v>SAF037C</v>
      </c>
      <c r="F90" t="str">
        <v>AL</v>
      </c>
      <c r="G90" t="str">
        <v>AL</v>
      </c>
      <c r="H90" t="str">
        <v>AL</v>
      </c>
      <c r="I90" t="str">
        <v>AL</v>
      </c>
      <c r="J90" t="str">
        <v>AL</v>
      </c>
      <c r="K90" t="str">
        <v>AL</v>
      </c>
      <c r="L90" t="str">
        <v>AL</v>
      </c>
      <c r="M90" t="str">
        <v>AL</v>
      </c>
      <c r="N90" t="str">
        <v>AL : OverTime</v>
      </c>
      <c r="O90" t="str">
        <v>PM : ABS</v>
      </c>
      <c r="P90" t="str">
        <v>PM : onTime</v>
      </c>
      <c r="Q90" t="str">
        <v>OFF</v>
      </c>
      <c r="R90" t="str">
        <v>PM : onTime</v>
      </c>
      <c r="S90" t="str">
        <v>PM : onTime</v>
      </c>
      <c r="T90" t="str">
        <v>PM : onTime</v>
      </c>
      <c r="U90" t="str">
        <v>PM : onTime</v>
      </c>
      <c r="V90" t="str">
        <v>PM : onTime</v>
      </c>
      <c r="W90" t="str">
        <v>OFF</v>
      </c>
      <c r="X90" t="str">
        <v>PM : onTime</v>
      </c>
      <c r="Y90" t="str">
        <v>PM : onTime</v>
      </c>
      <c r="Z90" t="str">
        <v>PM : onTime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</row>
    <row r="91" spans="1:37">
      <c r="A91" t="str">
        <v>Muteb Mathkar Alotaibi</v>
      </c>
      <c r="B91">
        <v>80129771</v>
      </c>
      <c r="C91">
        <v>80129771</v>
      </c>
      <c r="D91" t="str">
        <v>Central</v>
      </c>
      <c r="E91" t="str">
        <v>SAF007C</v>
      </c>
      <c r="F91" t="str">
        <v>AL</v>
      </c>
      <c r="G91" t="str">
        <v>AL</v>
      </c>
      <c r="H91" t="str">
        <v>AM : DELAY</v>
      </c>
      <c r="I91" t="str">
        <v>PM : onTime</v>
      </c>
      <c r="J91" t="str">
        <v>OFF</v>
      </c>
      <c r="K91" t="str">
        <v>AM : onTime</v>
      </c>
      <c r="L91" t="str">
        <v>AM : onTime</v>
      </c>
      <c r="M91" t="str">
        <v>AM : DELAY</v>
      </c>
      <c r="N91" t="str">
        <v>AM : DELAY</v>
      </c>
      <c r="O91" t="str">
        <v>AM : ABS</v>
      </c>
      <c r="P91" t="str">
        <v>PM : DELAY</v>
      </c>
      <c r="Q91" t="str">
        <v>OFF</v>
      </c>
      <c r="R91" t="str">
        <v>AM : onTime</v>
      </c>
      <c r="S91" t="str">
        <v>AM : onTime</v>
      </c>
      <c r="T91" t="str">
        <v>AM : onTime</v>
      </c>
      <c r="U91" t="str">
        <v>AM : onTime</v>
      </c>
      <c r="V91" t="str">
        <v>AM : DELAY</v>
      </c>
      <c r="W91" t="str">
        <v>PM : ABS</v>
      </c>
      <c r="X91" t="str">
        <v>OFF : OverTime</v>
      </c>
      <c r="Y91" t="str">
        <v>AM : DELAY</v>
      </c>
      <c r="Z91" t="str">
        <v>AM : onTime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</row>
    <row r="92" spans="1:37">
      <c r="A92" t="str">
        <v>Abdulaziz Sultan AlDawsari</v>
      </c>
      <c r="B92">
        <v>80116428</v>
      </c>
      <c r="C92">
        <v>80116428</v>
      </c>
      <c r="D92" t="str">
        <v>Central</v>
      </c>
      <c r="E92" t="str">
        <v>SAF014C</v>
      </c>
      <c r="F92" t="str">
        <v>SICK</v>
      </c>
      <c r="G92" t="str">
        <v>SICK</v>
      </c>
      <c r="H92" t="str">
        <v>SICK</v>
      </c>
      <c r="I92" t="str">
        <v>SICK</v>
      </c>
      <c r="J92" t="str">
        <v>SICK</v>
      </c>
      <c r="K92" t="str">
        <v>SICK</v>
      </c>
      <c r="L92" t="str">
        <v>SICK</v>
      </c>
      <c r="M92" t="str">
        <v>SICK</v>
      </c>
      <c r="N92" t="str">
        <v>SICK</v>
      </c>
      <c r="O92" t="str">
        <v>PM : onTime</v>
      </c>
      <c r="P92" t="str">
        <v>PM : onTime</v>
      </c>
      <c r="Q92" t="str">
        <v>OFF</v>
      </c>
      <c r="R92" t="str">
        <v>SICK</v>
      </c>
      <c r="S92" t="str">
        <v>AM : onTime</v>
      </c>
      <c r="T92" t="str">
        <v>AM : onTime</v>
      </c>
      <c r="U92" t="str">
        <v>PM : onTime</v>
      </c>
      <c r="V92" t="str">
        <v>PM : onTime</v>
      </c>
      <c r="W92" t="str">
        <v>OFF</v>
      </c>
      <c r="X92" t="str">
        <v>PM : onTime</v>
      </c>
      <c r="Y92" t="str">
        <v>PM : onTime</v>
      </c>
      <c r="Z92" t="str">
        <v>PM : onTime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</row>
    <row r="93" spans="1:37">
      <c r="A93" t="str">
        <v>Abdulelah Moshsen Al Mutairi</v>
      </c>
      <c r="B93">
        <v>80107564</v>
      </c>
      <c r="C93">
        <v>80107564</v>
      </c>
      <c r="D93" t="str">
        <v>Central</v>
      </c>
      <c r="E93" t="str">
        <v>SAF026C</v>
      </c>
      <c r="F93" t="str">
        <v>AM : onTime</v>
      </c>
      <c r="G93" t="str">
        <v>AM : onTime</v>
      </c>
      <c r="H93" t="str">
        <v>AM : DELAY</v>
      </c>
      <c r="I93" t="str">
        <v>OFF</v>
      </c>
      <c r="J93" t="str">
        <v>AM : OverTime</v>
      </c>
      <c r="K93" t="str">
        <v>AM : onTime</v>
      </c>
      <c r="L93" t="str">
        <v>AM : DELAY</v>
      </c>
      <c r="M93" t="str">
        <v>AM : onTime</v>
      </c>
      <c r="N93" t="str">
        <v>AM : DELAY</v>
      </c>
      <c r="O93" t="str">
        <v>AM : onTime</v>
      </c>
      <c r="P93" t="str">
        <v>OFF</v>
      </c>
      <c r="Q93" t="str">
        <v>AM : onTime</v>
      </c>
      <c r="R93" t="str">
        <v>AM : DELAY</v>
      </c>
      <c r="S93" t="str">
        <v>AM : onTime</v>
      </c>
      <c r="T93" t="str">
        <v>AM : onTime</v>
      </c>
      <c r="U93" t="str">
        <v>AM : onTime</v>
      </c>
      <c r="V93" t="str">
        <v>AM : onTime</v>
      </c>
      <c r="W93" t="str">
        <v>OFF</v>
      </c>
      <c r="X93" t="str">
        <v>AM : onTime</v>
      </c>
      <c r="Y93" t="str">
        <v>AM : onTime</v>
      </c>
      <c r="Z93" t="str">
        <v>AM : onTime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</row>
    <row r="94" spans="1:37">
      <c r="A94" t="str">
        <v>Mohammed Abdulrahman AlSamhan</v>
      </c>
      <c r="B94">
        <v>80120596</v>
      </c>
      <c r="C94">
        <v>80120596</v>
      </c>
      <c r="D94" t="str">
        <v>Central</v>
      </c>
      <c r="E94" t="str">
        <v>SAF006C</v>
      </c>
      <c r="F94" t="str">
        <v>AM : onTime</v>
      </c>
      <c r="G94" t="str">
        <v>AM : onTime</v>
      </c>
      <c r="H94" t="str">
        <v>AM : onTime</v>
      </c>
      <c r="I94" t="str">
        <v>OFF</v>
      </c>
      <c r="J94" t="str">
        <v>PM : DELAY</v>
      </c>
      <c r="K94" t="str">
        <v>PM : DELAY</v>
      </c>
      <c r="L94" t="str">
        <v>PM : DELAY</v>
      </c>
      <c r="M94" t="str">
        <v>PM : DELAY</v>
      </c>
      <c r="N94" t="str">
        <v>PM : DELAY</v>
      </c>
      <c r="O94" t="str">
        <v>AM : onTime</v>
      </c>
      <c r="P94" t="str">
        <v>OFF : OverTime</v>
      </c>
      <c r="Q94" t="str">
        <v>AL</v>
      </c>
      <c r="R94" t="str">
        <v>AL</v>
      </c>
      <c r="S94" t="str">
        <v>AL</v>
      </c>
      <c r="T94" t="str">
        <v>AL</v>
      </c>
      <c r="U94" t="str">
        <v>AL</v>
      </c>
      <c r="V94" t="str">
        <v>AL</v>
      </c>
      <c r="W94" t="str">
        <v>AL</v>
      </c>
      <c r="X94" t="str">
        <v>AL</v>
      </c>
      <c r="Y94" t="str">
        <v>AL</v>
      </c>
      <c r="Z94" t="str">
        <v>AL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</row>
    <row r="95" spans="1:37">
      <c r="A95" t="str">
        <v>Farraj Nayif Alsubaie</v>
      </c>
      <c r="B95">
        <v>80129413</v>
      </c>
      <c r="C95">
        <v>80129413</v>
      </c>
      <c r="D95" t="str">
        <v>Central</v>
      </c>
      <c r="E95" t="str">
        <v>SAF017C</v>
      </c>
      <c r="F95" t="str">
        <v>AM : onTime</v>
      </c>
      <c r="G95" t="str">
        <v>AM : onTime</v>
      </c>
      <c r="H95" t="str">
        <v>AM : onTime</v>
      </c>
      <c r="I95" t="str">
        <v>OFF</v>
      </c>
      <c r="J95" t="str">
        <v>PM : onTime</v>
      </c>
      <c r="K95" t="str">
        <v>PM : onTime</v>
      </c>
      <c r="L95" t="str">
        <v>PM : onTime</v>
      </c>
      <c r="M95" t="str">
        <v>PM : onTime</v>
      </c>
      <c r="N95" t="str">
        <v>PM : onTime</v>
      </c>
      <c r="O95" t="str">
        <v>OFF</v>
      </c>
      <c r="P95" t="str">
        <v>PM : DELAY</v>
      </c>
      <c r="Q95" t="str">
        <v>PM : onTime</v>
      </c>
      <c r="R95" t="str">
        <v>AM : onTime</v>
      </c>
      <c r="S95" t="str">
        <v>AM : onTime</v>
      </c>
      <c r="T95" t="str">
        <v>AM : onTime</v>
      </c>
      <c r="U95" t="str">
        <v>AM : DELAY</v>
      </c>
      <c r="V95" t="str">
        <v>OFF</v>
      </c>
      <c r="W95" t="str">
        <v>PM : onTime</v>
      </c>
      <c r="X95" t="str">
        <v>PM : onTime</v>
      </c>
      <c r="Y95" t="str">
        <v>AM : onTime</v>
      </c>
      <c r="Z95" t="str">
        <v>AM : onTime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</row>
    <row r="96" spans="1:37">
      <c r="A96" t="str">
        <v>Meshari Maqbul Al Subaie</v>
      </c>
      <c r="B96">
        <v>80117077</v>
      </c>
      <c r="C96">
        <v>80117077</v>
      </c>
      <c r="D96" t="str">
        <v>Central</v>
      </c>
      <c r="E96" t="str">
        <v>SAF015C</v>
      </c>
      <c r="F96" t="str">
        <v>PM : onTime</v>
      </c>
      <c r="G96" t="str">
        <v>PM : onTime</v>
      </c>
      <c r="H96" t="str">
        <v>PM : onTime</v>
      </c>
      <c r="I96" t="str">
        <v>OFF : OverTime</v>
      </c>
      <c r="J96" t="str">
        <v>AL</v>
      </c>
      <c r="K96" t="str">
        <v>PM : onTime</v>
      </c>
      <c r="L96" t="str">
        <v>PM : onTime</v>
      </c>
      <c r="M96" t="str">
        <v>PM : DELAY</v>
      </c>
      <c r="N96" t="str">
        <v>PM : DELAY</v>
      </c>
      <c r="O96" t="str">
        <v>AL</v>
      </c>
      <c r="P96" t="str">
        <v>OFF</v>
      </c>
      <c r="Q96" t="str">
        <v>PM : onTime</v>
      </c>
      <c r="R96" t="str">
        <v>PM : DELAY</v>
      </c>
      <c r="S96" t="str">
        <v>PM : onTime</v>
      </c>
      <c r="T96" t="str">
        <v>PM : DELAY</v>
      </c>
      <c r="U96" t="str">
        <v>PM : onTime</v>
      </c>
      <c r="V96" t="str">
        <v>PM : DELAY</v>
      </c>
      <c r="W96" t="str">
        <v>OFF</v>
      </c>
      <c r="X96" t="str">
        <v>PM : onTime</v>
      </c>
      <c r="Y96" t="str">
        <v>PM : DELAY</v>
      </c>
      <c r="Z96" t="str">
        <v>PM : DELAY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</row>
    <row r="97" spans="1:37">
      <c r="A97" t="str">
        <v>Yousef Awad Almoammar</v>
      </c>
      <c r="B97">
        <v>80126497</v>
      </c>
      <c r="C97">
        <v>80126497</v>
      </c>
      <c r="D97" t="str">
        <v>Central</v>
      </c>
      <c r="E97" t="str">
        <v>SAF031C</v>
      </c>
      <c r="F97" t="str">
        <v>PM : onTime</v>
      </c>
      <c r="G97" t="str">
        <v>PM : onTime</v>
      </c>
      <c r="H97" t="str">
        <v>OFF</v>
      </c>
      <c r="I97" t="str">
        <v>PM : onTime</v>
      </c>
      <c r="J97" t="str">
        <v>PM : onTime</v>
      </c>
      <c r="K97" t="str">
        <v>PM : onTime</v>
      </c>
      <c r="L97" t="str">
        <v>PM : DELAY</v>
      </c>
      <c r="M97" t="str">
        <v>PM : onTime</v>
      </c>
      <c r="N97" t="str">
        <v>PM : onTime</v>
      </c>
      <c r="O97" t="str">
        <v>OFF</v>
      </c>
      <c r="P97" t="str">
        <v>PM : onTime</v>
      </c>
      <c r="Q97" t="str">
        <v>PM : onTime</v>
      </c>
      <c r="R97" t="str">
        <v>PM : DELAY</v>
      </c>
      <c r="S97" t="str">
        <v>PM : DELAY</v>
      </c>
      <c r="T97" t="str">
        <v>PM : onTime</v>
      </c>
      <c r="U97" t="str">
        <v>PM : onTime</v>
      </c>
      <c r="V97" t="str">
        <v>OFF</v>
      </c>
      <c r="W97" t="str">
        <v>PM : DELAY</v>
      </c>
      <c r="X97" t="str">
        <v>PM : DELAY</v>
      </c>
      <c r="Y97" t="str">
        <v>PM : onTime</v>
      </c>
      <c r="Z97" t="str">
        <v>PM : ABS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</row>
    <row r="98" spans="1:37">
      <c r="A98" t="str">
        <v>Reham Saad Al Otaibi</v>
      </c>
      <c r="B98">
        <v>80124487</v>
      </c>
      <c r="C98">
        <v>80124487</v>
      </c>
      <c r="D98" t="str">
        <v>Central</v>
      </c>
      <c r="E98" t="str">
        <v>SAF034C</v>
      </c>
      <c r="F98" t="str">
        <v>PM : onTime</v>
      </c>
      <c r="G98" t="str">
        <v>PM : onTime</v>
      </c>
      <c r="H98" t="str">
        <v>PM : onTime</v>
      </c>
      <c r="I98" t="str">
        <v>PM : onTime</v>
      </c>
      <c r="J98" t="str">
        <v>OFF</v>
      </c>
      <c r="K98" t="str">
        <v>PM : onTime</v>
      </c>
      <c r="L98" t="str">
        <v>PM : onTime</v>
      </c>
      <c r="M98" t="str">
        <v>PM : onTime</v>
      </c>
      <c r="N98" t="str">
        <v>PM : onTime</v>
      </c>
      <c r="O98" t="str">
        <v>PM : ABS</v>
      </c>
      <c r="P98" t="str">
        <v>PM : onTime</v>
      </c>
      <c r="Q98" t="str">
        <v>OFF</v>
      </c>
      <c r="R98" t="str">
        <v>PM : onTime</v>
      </c>
      <c r="S98" t="str">
        <v>PM : onTime</v>
      </c>
      <c r="T98" t="str">
        <v>PM : onTime</v>
      </c>
      <c r="U98" t="str">
        <v>PM : DELAY</v>
      </c>
      <c r="V98" t="str">
        <v>PM : onTime</v>
      </c>
      <c r="W98" t="str">
        <v>PM : onTime</v>
      </c>
      <c r="X98" t="str">
        <v>OFF</v>
      </c>
      <c r="Y98" t="str">
        <v>PM : onTime</v>
      </c>
      <c r="Z98" t="str">
        <v>PM : onTime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</row>
    <row r="99" spans="1:37">
      <c r="A99" t="str">
        <v>Bader Faihan Alotaibi</v>
      </c>
      <c r="B99">
        <v>80128533</v>
      </c>
      <c r="C99">
        <v>80128533</v>
      </c>
      <c r="D99" t="str">
        <v>Central</v>
      </c>
      <c r="E99" t="str">
        <v>SAF021C</v>
      </c>
      <c r="F99" t="str">
        <v>AM : onTime</v>
      </c>
      <c r="G99" t="str">
        <v>AM : onTime</v>
      </c>
      <c r="H99" t="str">
        <v>AM : onTime</v>
      </c>
      <c r="I99" t="str">
        <v>OFF</v>
      </c>
      <c r="J99" t="str">
        <v>AM : DELAY</v>
      </c>
      <c r="K99" t="str">
        <v>AM : onTime</v>
      </c>
      <c r="L99" t="str">
        <v>AM : onTime</v>
      </c>
      <c r="M99" t="str">
        <v>AM : onTime</v>
      </c>
      <c r="N99" t="str">
        <v>AL</v>
      </c>
      <c r="O99" t="str">
        <v>OFF</v>
      </c>
      <c r="P99" t="str">
        <v>PM : onTime</v>
      </c>
      <c r="Q99" t="str">
        <v>AM : onTime</v>
      </c>
      <c r="R99" t="str">
        <v>AM : onTime</v>
      </c>
      <c r="S99" t="str">
        <v>AM : onTime</v>
      </c>
      <c r="T99" t="str">
        <v>AM : onTime</v>
      </c>
      <c r="U99" t="str">
        <v>PM : onTime</v>
      </c>
      <c r="V99" t="str">
        <v>OFF</v>
      </c>
      <c r="W99" t="str">
        <v>PM : onTime</v>
      </c>
      <c r="X99" t="str">
        <v>PM : onTime</v>
      </c>
      <c r="Y99" t="str">
        <v>PM : onTime</v>
      </c>
      <c r="Z99" t="str">
        <v>PM : onTime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</row>
    <row r="100" spans="1:37">
      <c r="A100" t="str">
        <v>Nawaf Refdan Al Qahtani</v>
      </c>
      <c r="B100">
        <v>80061519</v>
      </c>
      <c r="C100">
        <v>80061519</v>
      </c>
      <c r="D100" t="str">
        <v>Central</v>
      </c>
      <c r="E100" t="str">
        <v>SAF005C</v>
      </c>
      <c r="F100" t="str">
        <v>PM : DELAY</v>
      </c>
      <c r="G100" t="str">
        <v>PM : DELAY</v>
      </c>
      <c r="H100" t="str">
        <v>PM : DELAY</v>
      </c>
      <c r="I100" t="str">
        <v>PM : DELAY</v>
      </c>
      <c r="J100" t="str">
        <v>OFF</v>
      </c>
      <c r="K100" t="str">
        <v>PM : DELAY</v>
      </c>
      <c r="L100" t="str">
        <v>PM : DELAY</v>
      </c>
      <c r="M100" t="str">
        <v>PM : DELAY</v>
      </c>
      <c r="N100" t="str">
        <v>PM : DELAY</v>
      </c>
      <c r="O100" t="str">
        <v>PM : ABS</v>
      </c>
      <c r="P100" t="str">
        <v>PM : DELAY</v>
      </c>
      <c r="Q100" t="str">
        <v>OFF</v>
      </c>
      <c r="R100" t="str">
        <v>PM : DELAY</v>
      </c>
      <c r="S100" t="str">
        <v>PM : DELAY</v>
      </c>
      <c r="T100" t="str">
        <v>PM : DELAY</v>
      </c>
      <c r="U100" t="str">
        <v>PM : ABS</v>
      </c>
      <c r="V100" t="str">
        <v>PM : onTime</v>
      </c>
      <c r="W100" t="str">
        <v>PM : DELAY</v>
      </c>
      <c r="X100" t="str">
        <v>OFF</v>
      </c>
      <c r="Y100" t="str">
        <v>PM : DELAY</v>
      </c>
      <c r="Z100" t="str">
        <v>PM : DELAY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</row>
    <row r="101" spans="1:37">
      <c r="A101" t="str">
        <v>Marwan Saleh Aldawood</v>
      </c>
      <c r="B101">
        <v>80019625</v>
      </c>
      <c r="C101">
        <v>80019625</v>
      </c>
      <c r="D101" t="str">
        <v>Central</v>
      </c>
      <c r="E101" t="str">
        <v>SAF006C</v>
      </c>
      <c r="F101" t="str">
        <v>PM : onTime</v>
      </c>
      <c r="G101" t="str">
        <v>PM : onTime</v>
      </c>
      <c r="H101" t="str">
        <v>PM : onTime</v>
      </c>
      <c r="I101" t="str">
        <v>PM : onTime</v>
      </c>
      <c r="J101" t="str">
        <v>OFF : OverTime</v>
      </c>
      <c r="K101" t="str">
        <v>PM : onTime</v>
      </c>
      <c r="L101" t="str">
        <v>PM : onTime</v>
      </c>
      <c r="M101" t="str">
        <v>PM : onTime</v>
      </c>
      <c r="N101" t="str">
        <v>PM : onTime</v>
      </c>
      <c r="O101" t="str">
        <v>PM : onTime</v>
      </c>
      <c r="P101" t="str">
        <v>PM : onTime</v>
      </c>
      <c r="Q101" t="str">
        <v>OFF</v>
      </c>
      <c r="R101" t="str">
        <v>PM : onTime</v>
      </c>
      <c r="S101" t="str">
        <v>PM : onTime</v>
      </c>
      <c r="T101" t="str">
        <v>PM : onTime</v>
      </c>
      <c r="U101" t="str">
        <v>PM : onTime</v>
      </c>
      <c r="V101" t="str">
        <v>PM : DELAY</v>
      </c>
      <c r="W101" t="str">
        <v>PM : DELAY</v>
      </c>
      <c r="X101" t="str">
        <v>OFF</v>
      </c>
      <c r="Y101" t="str">
        <v>PM : onTime</v>
      </c>
      <c r="Z101" t="str">
        <v>PM : onTime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</row>
    <row r="102" spans="1:37">
      <c r="A102" t="str">
        <v>Fahad mobarak Alotaibi</v>
      </c>
      <c r="B102">
        <v>80022889</v>
      </c>
      <c r="C102">
        <v>80022889</v>
      </c>
      <c r="D102" t="str">
        <v>Central</v>
      </c>
      <c r="E102" t="str">
        <v>SAF007C</v>
      </c>
      <c r="F102" t="str">
        <v>PM : DELAY</v>
      </c>
      <c r="G102" t="str">
        <v>AL</v>
      </c>
      <c r="H102" t="str">
        <v>AL</v>
      </c>
      <c r="I102" t="str">
        <v>AL</v>
      </c>
      <c r="J102" t="str">
        <v>AL</v>
      </c>
      <c r="K102" t="str">
        <v>PM : onTime</v>
      </c>
      <c r="L102" t="str">
        <v>PM : DELAY</v>
      </c>
      <c r="M102" t="str">
        <v>PM : DELAY</v>
      </c>
      <c r="N102" t="str">
        <v>PM : onTime</v>
      </c>
      <c r="O102" t="str">
        <v>PM : onTime</v>
      </c>
      <c r="P102" t="str">
        <v>OFF</v>
      </c>
      <c r="Q102" t="str">
        <v>PM : OverTime</v>
      </c>
      <c r="R102" t="str">
        <v>PM : onTime</v>
      </c>
      <c r="S102" t="str">
        <v>PM : DELAY</v>
      </c>
      <c r="T102" t="str">
        <v>PM : DELAY</v>
      </c>
      <c r="U102" t="str">
        <v>PM : onTime</v>
      </c>
      <c r="V102" t="str">
        <v>PM : onTime</v>
      </c>
      <c r="W102" t="str">
        <v>OFF</v>
      </c>
      <c r="X102" t="str">
        <v>PM : onTime</v>
      </c>
      <c r="Y102" t="str">
        <v>PM : onTime</v>
      </c>
      <c r="Z102" t="str">
        <v>PM : DELAY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</row>
    <row r="103" spans="1:37">
      <c r="A103" t="str">
        <v>Nawaf sultan Alotaibi</v>
      </c>
      <c r="B103">
        <v>80127483</v>
      </c>
      <c r="C103">
        <v>80127483</v>
      </c>
      <c r="D103" t="str">
        <v>Central</v>
      </c>
      <c r="E103" t="str">
        <v>SAF021C</v>
      </c>
      <c r="F103" t="str">
        <v>AM : DELAY</v>
      </c>
      <c r="G103" t="str">
        <v>AM : onTime</v>
      </c>
      <c r="H103" t="str">
        <v>AM : DELAY</v>
      </c>
      <c r="I103" t="str">
        <v>OFF</v>
      </c>
      <c r="J103" t="str">
        <v>AM : onTime</v>
      </c>
      <c r="K103" t="str">
        <v>AM : onTime</v>
      </c>
      <c r="L103" t="str">
        <v>AM : onTime</v>
      </c>
      <c r="M103" t="str">
        <v>AM : onTime</v>
      </c>
      <c r="N103" t="str">
        <v>AM : DELAY</v>
      </c>
      <c r="O103" t="str">
        <v>AM : DELAY</v>
      </c>
      <c r="P103" t="str">
        <v>OFF</v>
      </c>
      <c r="Q103" t="str">
        <v>AM : DELAY</v>
      </c>
      <c r="R103" t="str">
        <v>AM : onTime</v>
      </c>
      <c r="S103" t="str">
        <v>AM : DELAY</v>
      </c>
      <c r="T103" t="str">
        <v>AM : DELAY</v>
      </c>
      <c r="U103" t="str">
        <v>PM : onTime</v>
      </c>
      <c r="V103" t="str">
        <v>PM : onTime</v>
      </c>
      <c r="W103" t="str">
        <v>PM : onTime</v>
      </c>
      <c r="X103" t="str">
        <v>OFF</v>
      </c>
      <c r="Y103" t="str">
        <v>PM : onTime</v>
      </c>
      <c r="Z103" t="str">
        <v>PM : DELAY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</row>
    <row r="104" spans="1:37">
      <c r="A104" t="str">
        <v>Abdulaziz Fahad Binjabhan</v>
      </c>
      <c r="B104">
        <v>80128274</v>
      </c>
      <c r="C104">
        <v>80128274</v>
      </c>
      <c r="D104" t="str">
        <v>Central</v>
      </c>
      <c r="E104" t="str">
        <v>SAF025C</v>
      </c>
      <c r="F104" t="str">
        <v>AM : onTime</v>
      </c>
      <c r="G104" t="str">
        <v>AM : onTime</v>
      </c>
      <c r="H104" t="str">
        <v>AM : onTime</v>
      </c>
      <c r="I104" t="str">
        <v>OFF</v>
      </c>
      <c r="J104" t="str">
        <v>AL : OverTime</v>
      </c>
      <c r="K104" t="str">
        <v>AM : onTime</v>
      </c>
      <c r="L104" t="str">
        <v>AM : onTime</v>
      </c>
      <c r="M104" t="str">
        <v>AM : onTime</v>
      </c>
      <c r="N104" t="str">
        <v>AM : DELAY</v>
      </c>
      <c r="O104" t="str">
        <v>AM : DELAY</v>
      </c>
      <c r="P104" t="str">
        <v>OFF : OverTime</v>
      </c>
      <c r="Q104" t="str">
        <v>AM : onTime</v>
      </c>
      <c r="R104" t="str">
        <v>AM : onTime</v>
      </c>
      <c r="S104" t="str">
        <v>AM : onTime</v>
      </c>
      <c r="T104" t="str">
        <v>AM : onTime</v>
      </c>
      <c r="U104" t="str">
        <v>AM : onTime</v>
      </c>
      <c r="V104" t="str">
        <v>AM : onTime</v>
      </c>
      <c r="W104" t="str">
        <v>OFF</v>
      </c>
      <c r="X104" t="str">
        <v>AM : onTime</v>
      </c>
      <c r="Y104" t="str">
        <v>AM : onTime</v>
      </c>
      <c r="Z104" t="str">
        <v>AM : onTime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</row>
    <row r="105" spans="1:37">
      <c r="A105" t="str">
        <v>Safar Saud Al Baqami</v>
      </c>
      <c r="B105">
        <v>80112543</v>
      </c>
      <c r="C105">
        <v>80112543</v>
      </c>
      <c r="D105" t="str">
        <v>Central</v>
      </c>
      <c r="E105" t="str">
        <v>SAF035C</v>
      </c>
      <c r="F105" t="str">
        <v>AM : DELAY</v>
      </c>
      <c r="G105" t="str">
        <v>AM : onTime</v>
      </c>
      <c r="H105" t="str">
        <v>PM : onTime</v>
      </c>
      <c r="I105" t="str">
        <v>OFF</v>
      </c>
      <c r="J105" t="str">
        <v>PM : onTime</v>
      </c>
      <c r="K105" t="str">
        <v>AM : onTime</v>
      </c>
      <c r="L105" t="str">
        <v>AM : onTime</v>
      </c>
      <c r="M105" t="str">
        <v>AM : onTime</v>
      </c>
      <c r="N105" t="str">
        <v>AM : DELAY</v>
      </c>
      <c r="O105" t="str">
        <v>PM : onTime</v>
      </c>
      <c r="P105" t="str">
        <v>OFF</v>
      </c>
      <c r="Q105" t="str">
        <v>AM : DELAY</v>
      </c>
      <c r="R105" t="str">
        <v>AM : DELAY</v>
      </c>
      <c r="S105" t="str">
        <v>AM : onTime</v>
      </c>
      <c r="T105" t="str">
        <v>AM : DELAY</v>
      </c>
      <c r="U105" t="str">
        <v>PM : onTime</v>
      </c>
      <c r="V105" t="str">
        <v>PM : onTime</v>
      </c>
      <c r="W105" t="str">
        <v>PM : DELAY</v>
      </c>
      <c r="X105" t="str">
        <v>OFF</v>
      </c>
      <c r="Y105" t="str">
        <v>PM : onTime</v>
      </c>
      <c r="Z105" t="str">
        <v>PM : onTime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</row>
    <row r="106" spans="1:37">
      <c r="A106" t="str">
        <v>Khaled Yahya Hantoul</v>
      </c>
      <c r="B106">
        <v>80058148</v>
      </c>
      <c r="C106">
        <v>80058148</v>
      </c>
      <c r="D106" t="str">
        <v>Central</v>
      </c>
      <c r="E106" t="str">
        <v>SAF019C</v>
      </c>
      <c r="F106" t="str">
        <v>AL</v>
      </c>
      <c r="G106" t="str">
        <v>AM : onTime</v>
      </c>
      <c r="H106" t="str">
        <v>AM : onTime</v>
      </c>
      <c r="I106" t="str">
        <v>OFF</v>
      </c>
      <c r="J106" t="str">
        <v>AM : onTime</v>
      </c>
      <c r="K106" t="str">
        <v>AM : onTime</v>
      </c>
      <c r="L106" t="str">
        <v>AL</v>
      </c>
      <c r="M106" t="str">
        <v>AL</v>
      </c>
      <c r="N106" t="str">
        <v>AM : onTime</v>
      </c>
      <c r="O106" t="str">
        <v>AL</v>
      </c>
      <c r="P106" t="str">
        <v>OFF : OverTime</v>
      </c>
      <c r="Q106" t="str">
        <v>AM : OverTime</v>
      </c>
      <c r="R106" t="str">
        <v>AM : onTime</v>
      </c>
      <c r="S106" t="str">
        <v>AM : onTime</v>
      </c>
      <c r="T106" t="str">
        <v>AM : onTime</v>
      </c>
      <c r="U106" t="str">
        <v>AM : onTime</v>
      </c>
      <c r="V106" t="str">
        <v>AM : DELAY</v>
      </c>
      <c r="W106" t="str">
        <v>OFF</v>
      </c>
      <c r="X106" t="str">
        <v>AM : DELAY</v>
      </c>
      <c r="Y106" t="str">
        <v>AM : DELAY</v>
      </c>
      <c r="Z106" t="str">
        <v>AM : onTime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</row>
    <row r="107" spans="1:37">
      <c r="A107" t="str">
        <v>Abdulrahman Ali Alharbi</v>
      </c>
      <c r="B107">
        <v>80127577</v>
      </c>
      <c r="C107">
        <v>80127577</v>
      </c>
      <c r="D107" t="str">
        <v>Central</v>
      </c>
      <c r="E107" t="str">
        <v>SAF029C</v>
      </c>
      <c r="F107" t="str">
        <v>PM : onTime</v>
      </c>
      <c r="G107" t="str">
        <v>AL</v>
      </c>
      <c r="H107" t="str">
        <v>AL</v>
      </c>
      <c r="I107" t="str">
        <v>AL</v>
      </c>
      <c r="J107" t="str">
        <v>PM : onTime</v>
      </c>
      <c r="K107" t="str">
        <v>PM : onTime</v>
      </c>
      <c r="L107" t="str">
        <v>PM : DELAY</v>
      </c>
      <c r="M107" t="str">
        <v>PM : onTime</v>
      </c>
      <c r="N107" t="str">
        <v>PM : onTime</v>
      </c>
      <c r="O107" t="str">
        <v>PM : ABS</v>
      </c>
      <c r="P107" t="str">
        <v>OFF</v>
      </c>
      <c r="Q107" t="str">
        <v>PM : onTime</v>
      </c>
      <c r="R107" t="str">
        <v>PM : onTime</v>
      </c>
      <c r="S107" t="str">
        <v>PM : onTime</v>
      </c>
      <c r="T107" t="str">
        <v>PM : onTime</v>
      </c>
      <c r="U107" t="str">
        <v>PM : onTime</v>
      </c>
      <c r="V107" t="str">
        <v>PM : ABS</v>
      </c>
      <c r="W107" t="str">
        <v>OFF : OverTime</v>
      </c>
      <c r="X107" t="str">
        <v>PM : onTime</v>
      </c>
      <c r="Y107" t="str">
        <v>PM : onTime</v>
      </c>
      <c r="Z107" t="str">
        <v>PM : onTime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</row>
    <row r="108" spans="1:37">
      <c r="A108" t="str">
        <v>Majed Khalid Alanazi</v>
      </c>
      <c r="B108">
        <v>80128477</v>
      </c>
      <c r="C108">
        <v>80128477</v>
      </c>
      <c r="D108" t="str">
        <v>Central</v>
      </c>
      <c r="E108" t="str">
        <v>SAF030C</v>
      </c>
      <c r="F108" t="str">
        <v>PM : DELAY</v>
      </c>
      <c r="G108" t="str">
        <v>PM : onTime</v>
      </c>
      <c r="H108" t="str">
        <v>AM : onTime</v>
      </c>
      <c r="I108" t="str">
        <v>AL</v>
      </c>
      <c r="J108" t="str">
        <v>AL</v>
      </c>
      <c r="K108" t="str">
        <v>PM : onTime</v>
      </c>
      <c r="L108" t="str">
        <v>PM : onTime</v>
      </c>
      <c r="M108" t="str">
        <v>PM : onTime</v>
      </c>
      <c r="N108" t="str">
        <v>PM : onTime</v>
      </c>
      <c r="O108" t="str">
        <v>PM : ABS</v>
      </c>
      <c r="P108" t="str">
        <v>PM : onTime</v>
      </c>
      <c r="Q108" t="str">
        <v>OFF</v>
      </c>
      <c r="R108" t="str">
        <v>PM : DELAY</v>
      </c>
      <c r="S108" t="str">
        <v>PM : onTime</v>
      </c>
      <c r="T108" t="str">
        <v>PM : onTime</v>
      </c>
      <c r="U108" t="str">
        <v>PM : onTime</v>
      </c>
      <c r="V108" t="str">
        <v>PM : onTime</v>
      </c>
      <c r="W108" t="str">
        <v>PM : onTime</v>
      </c>
      <c r="X108" t="str">
        <v>OFF</v>
      </c>
      <c r="Y108" t="str">
        <v>AM : onTime</v>
      </c>
      <c r="Z108" t="str">
        <v>AM : onTime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</row>
    <row r="109" spans="1:37">
      <c r="A109" t="str">
        <v>Meshari Hussien Al Shammari</v>
      </c>
      <c r="B109">
        <v>80127843</v>
      </c>
      <c r="C109">
        <v>80127843</v>
      </c>
      <c r="D109" t="str">
        <v>Central</v>
      </c>
      <c r="E109" t="str">
        <v>SAF023C</v>
      </c>
      <c r="F109" t="str">
        <v>PM : onTime</v>
      </c>
      <c r="G109" t="str">
        <v>PM : DELAY</v>
      </c>
      <c r="H109" t="str">
        <v>PM : DELAY</v>
      </c>
      <c r="I109" t="str">
        <v>OFF : OverTime</v>
      </c>
      <c r="J109" t="str">
        <v>AL</v>
      </c>
      <c r="K109" t="str">
        <v>AL</v>
      </c>
      <c r="L109" t="str">
        <v>PM : onTime</v>
      </c>
      <c r="M109" t="str">
        <v>PM : onTime</v>
      </c>
      <c r="N109" t="str">
        <v>PM : onTime</v>
      </c>
      <c r="O109" t="str">
        <v>AL</v>
      </c>
      <c r="P109" t="str">
        <v>OFF : OverTime</v>
      </c>
      <c r="Q109" t="str">
        <v>PM : DELAY</v>
      </c>
      <c r="R109" t="str">
        <v>PM : DELAY</v>
      </c>
      <c r="S109" t="str">
        <v>PM : onTime</v>
      </c>
      <c r="T109" t="str">
        <v>PM : DELAY</v>
      </c>
      <c r="U109" t="str">
        <v>AL</v>
      </c>
      <c r="V109" t="str">
        <v>PM : onTime</v>
      </c>
      <c r="W109" t="str">
        <v>OFF : OverTime</v>
      </c>
      <c r="X109" t="str">
        <v>PM : DELAY</v>
      </c>
      <c r="Y109" t="str">
        <v>PM : DELAY</v>
      </c>
      <c r="Z109" t="str">
        <v>PM : DELAY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</row>
    <row r="110" spans="1:37">
      <c r="A110" t="str">
        <v>Naif Faleh Alotaibi</v>
      </c>
      <c r="B110">
        <v>80126979</v>
      </c>
      <c r="C110">
        <v>80126979</v>
      </c>
      <c r="D110" t="str">
        <v>Central</v>
      </c>
      <c r="E110" t="str">
        <v>SAF035C</v>
      </c>
      <c r="F110" t="str">
        <v>AL</v>
      </c>
      <c r="G110" t="str">
        <v>AL</v>
      </c>
      <c r="H110" t="str">
        <v>AL</v>
      </c>
      <c r="I110" t="str">
        <v>AL</v>
      </c>
      <c r="J110" t="str">
        <v>AL</v>
      </c>
      <c r="K110" t="str">
        <v>AL</v>
      </c>
      <c r="L110" t="str">
        <v>AL</v>
      </c>
      <c r="M110" t="str">
        <v>AL</v>
      </c>
      <c r="N110" t="str">
        <v>AL</v>
      </c>
      <c r="O110" t="str">
        <v>AL</v>
      </c>
      <c r="P110" t="str">
        <v>AL</v>
      </c>
      <c r="Q110" t="str">
        <v>AM : DELAY</v>
      </c>
      <c r="R110" t="str">
        <v>AM : DELAY</v>
      </c>
      <c r="S110" t="str">
        <v>AM : DELAY</v>
      </c>
      <c r="T110" t="str">
        <v>AM : DELAY</v>
      </c>
      <c r="U110" t="str">
        <v>PM : onTime</v>
      </c>
      <c r="V110" t="str">
        <v>OFF</v>
      </c>
      <c r="W110" t="str">
        <v>PM : onTime</v>
      </c>
      <c r="X110" t="str">
        <v>PM : DELAY</v>
      </c>
      <c r="Y110" t="str">
        <v>PM : onTime</v>
      </c>
      <c r="Z110" t="str">
        <v>PM : onTime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</row>
    <row r="111" spans="1:37">
      <c r="A111" t="str">
        <v>Amwaj Faihan Al-Otaibi</v>
      </c>
      <c r="B111">
        <v>80087248</v>
      </c>
      <c r="C111">
        <v>80087248</v>
      </c>
      <c r="D111" t="str">
        <v>Central</v>
      </c>
      <c r="E111" t="str">
        <v>SAF036C</v>
      </c>
      <c r="F111" t="str">
        <v>AM : onTime</v>
      </c>
      <c r="G111" t="str">
        <v>AM : onTime</v>
      </c>
      <c r="H111" t="str">
        <v>AM : onTime</v>
      </c>
      <c r="I111" t="str">
        <v>OFF</v>
      </c>
      <c r="J111" t="str">
        <v>AM : onTime</v>
      </c>
      <c r="K111" t="str">
        <v>AM : onTime</v>
      </c>
      <c r="L111" t="str">
        <v>AM : onTime</v>
      </c>
      <c r="M111" t="str">
        <v>AM : onTime</v>
      </c>
      <c r="N111" t="str">
        <v>AM : DELAY</v>
      </c>
      <c r="O111" t="str">
        <v>AM : ABS</v>
      </c>
      <c r="P111" t="str">
        <v>OFF</v>
      </c>
      <c r="Q111" t="str">
        <v>AM : onTime</v>
      </c>
      <c r="R111" t="str">
        <v>AM : onTime</v>
      </c>
      <c r="S111" t="str">
        <v>AM : onTime</v>
      </c>
      <c r="T111" t="str">
        <v>AM : onTime</v>
      </c>
      <c r="U111" t="str">
        <v>PM : onTime</v>
      </c>
      <c r="V111" t="str">
        <v>OFF</v>
      </c>
      <c r="W111" t="str">
        <v>PM : onTime</v>
      </c>
      <c r="X111" t="str">
        <v>PM : onTime</v>
      </c>
      <c r="Y111" t="str">
        <v>PM : onTime</v>
      </c>
      <c r="Z111" t="str">
        <v>PM : onTime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</row>
    <row r="112" spans="1:37">
      <c r="A112" t="str">
        <v>Nawaf Saud Al Jasir</v>
      </c>
      <c r="B112">
        <v>80108197</v>
      </c>
      <c r="C112">
        <v>80108197</v>
      </c>
      <c r="D112" t="str">
        <v>Central</v>
      </c>
      <c r="E112" t="str">
        <v>SAF019C</v>
      </c>
      <c r="F112" t="str">
        <v>PM : onTime</v>
      </c>
      <c r="G112" t="str">
        <v>PM : onTime</v>
      </c>
      <c r="H112" t="str">
        <v>PM : onTime</v>
      </c>
      <c r="I112" t="str">
        <v>PM : onTime</v>
      </c>
      <c r="J112" t="str">
        <v>OFF</v>
      </c>
      <c r="K112" t="str">
        <v>PM : OverTime</v>
      </c>
      <c r="L112" t="str">
        <v>PM : onTime</v>
      </c>
      <c r="M112" t="str">
        <v>PM : onTime</v>
      </c>
      <c r="N112" t="str">
        <v>PM : onTime</v>
      </c>
      <c r="O112" t="str">
        <v>AL</v>
      </c>
      <c r="P112" t="str">
        <v>PM : onTime</v>
      </c>
      <c r="Q112" t="str">
        <v>OFF</v>
      </c>
      <c r="R112" t="str">
        <v>PM : onTime</v>
      </c>
      <c r="S112" t="str">
        <v>PM : OverTime</v>
      </c>
      <c r="T112" t="str">
        <v>PM : onTime</v>
      </c>
      <c r="U112" t="str">
        <v>PM : onTime</v>
      </c>
      <c r="V112" t="str">
        <v>PM : onTime</v>
      </c>
      <c r="W112" t="str">
        <v>PM : onTime</v>
      </c>
      <c r="X112" t="str">
        <v>OFF</v>
      </c>
      <c r="Y112" t="str">
        <v>PM : onTime</v>
      </c>
      <c r="Z112" t="str">
        <v>PM : onTime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</row>
    <row r="113" spans="1:37">
      <c r="A113" t="str">
        <v>Bandar Khaled Al Mobarak</v>
      </c>
      <c r="B113">
        <v>80123622</v>
      </c>
      <c r="C113">
        <v>80123622</v>
      </c>
      <c r="D113" t="str">
        <v>Central</v>
      </c>
      <c r="E113" t="str">
        <v>SAF025C</v>
      </c>
      <c r="F113" t="str">
        <v>PM : DELAY</v>
      </c>
      <c r="G113" t="str">
        <v>PM : onTime</v>
      </c>
      <c r="H113" t="str">
        <v>PM : onTime</v>
      </c>
      <c r="I113" t="str">
        <v>OFF</v>
      </c>
      <c r="J113" t="str">
        <v>PM : onTime</v>
      </c>
      <c r="K113" t="str">
        <v>PM : onTime</v>
      </c>
      <c r="L113" t="str">
        <v>PM : DELAY</v>
      </c>
      <c r="M113" t="str">
        <v>PM : onTime</v>
      </c>
      <c r="N113" t="str">
        <v>PM : onTime</v>
      </c>
      <c r="O113" t="str">
        <v>PM : onTime</v>
      </c>
      <c r="P113" t="str">
        <v>OFF</v>
      </c>
      <c r="Q113" t="str">
        <v>PM : ABS</v>
      </c>
      <c r="R113" t="str">
        <v>PM : ABS</v>
      </c>
      <c r="S113" t="str">
        <v>PM : onTime</v>
      </c>
      <c r="T113" t="str">
        <v>PM : onTime</v>
      </c>
      <c r="U113" t="str">
        <v>PM : onTime</v>
      </c>
      <c r="V113" t="str">
        <v>PM : onTime</v>
      </c>
      <c r="W113" t="str">
        <v>OFF</v>
      </c>
      <c r="X113" t="str">
        <v>PM : DELAY</v>
      </c>
      <c r="Y113" t="str">
        <v>PM : onTime</v>
      </c>
      <c r="Z113" t="str">
        <v>PM : DELAY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</row>
    <row r="114" spans="1:37">
      <c r="A114" t="str">
        <v>Naif Saud Alotaibi</v>
      </c>
      <c r="B114">
        <v>80127740</v>
      </c>
      <c r="C114">
        <v>80127740</v>
      </c>
      <c r="D114" t="str">
        <v>Central</v>
      </c>
      <c r="E114" t="str">
        <v>SAF002C</v>
      </c>
      <c r="F114" t="str">
        <v>OFF : OverTime</v>
      </c>
      <c r="G114" t="str">
        <v>PM : ABS</v>
      </c>
      <c r="H114" t="str">
        <v>PM : ABS</v>
      </c>
      <c r="I114" t="str">
        <v>PM : ABS</v>
      </c>
      <c r="J114" t="str">
        <v>PM : ABS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</row>
    <row r="115" spans="1:37">
      <c r="A115" t="str">
        <v>Meshari Abdullah Alotaibi</v>
      </c>
      <c r="B115">
        <v>80129748</v>
      </c>
      <c r="C115">
        <v>80129748</v>
      </c>
      <c r="D115" t="str">
        <v>Central</v>
      </c>
      <c r="E115" t="str">
        <v>SAF002C</v>
      </c>
      <c r="F115" t="str">
        <v>AM : ABS</v>
      </c>
      <c r="G115" t="str">
        <v>AM : ABS</v>
      </c>
      <c r="H115" t="str">
        <v>AM : ABS</v>
      </c>
      <c r="I115" t="str">
        <v>OFF</v>
      </c>
      <c r="J115" t="str">
        <v>OFF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</row>
    <row r="116" spans="1:37">
      <c r="A116" t="str">
        <v>Falah Mobarak Al Qahtani</v>
      </c>
      <c r="B116">
        <v>80128126</v>
      </c>
      <c r="C116">
        <v>80128126</v>
      </c>
      <c r="D116" t="str">
        <v>Central</v>
      </c>
      <c r="E116" t="str">
        <v>SAF005C</v>
      </c>
      <c r="F116" t="str">
        <v>PM : ABS</v>
      </c>
      <c r="G116" t="str">
        <v>PM : ABS</v>
      </c>
      <c r="H116" t="str">
        <v>PM : ABS</v>
      </c>
      <c r="I116" t="str">
        <v>PM : ABS</v>
      </c>
      <c r="J116" t="str">
        <v>PM : ABS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</row>
    <row r="117" spans="1:37">
      <c r="A117" t="str">
        <v>Abdulrahman Mohammed Alotaibi</v>
      </c>
      <c r="B117">
        <v>80102556</v>
      </c>
      <c r="C117">
        <v>80102556</v>
      </c>
      <c r="D117" t="str">
        <v xml:space="preserve">Central </v>
      </c>
      <c r="E117" t="str">
        <v>SAF011C</v>
      </c>
      <c r="F117" t="str">
        <v>PM : DELAY</v>
      </c>
      <c r="G117" t="str">
        <v>PM : onTime</v>
      </c>
      <c r="H117" t="str">
        <v>PM : onTime</v>
      </c>
      <c r="I117" t="str">
        <v>PM : ABS</v>
      </c>
      <c r="J117" t="str">
        <v>OFF</v>
      </c>
      <c r="K117" t="str">
        <v>PM : ABS</v>
      </c>
      <c r="L117" t="str">
        <v>PM : ABS</v>
      </c>
      <c r="M117" t="str">
        <v>PM : ABS</v>
      </c>
      <c r="N117" t="str">
        <v>PM : ABS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</row>
    <row r="118" spans="1:37">
      <c r="A118" t="str">
        <v>Abdullah Khalid AlZeer</v>
      </c>
      <c r="B118">
        <v>80121513</v>
      </c>
      <c r="C118">
        <v>80121513</v>
      </c>
      <c r="D118" t="str">
        <v>Central</v>
      </c>
      <c r="E118" t="str">
        <v>SAF014C</v>
      </c>
      <c r="F118" t="str">
        <v>AM : onTime</v>
      </c>
      <c r="G118" t="str">
        <v>AM : DELAY</v>
      </c>
      <c r="H118" t="str">
        <v>AM : DELAY</v>
      </c>
      <c r="I118" t="str">
        <v>PM : DELAY</v>
      </c>
      <c r="J118" t="str">
        <v>OFF</v>
      </c>
      <c r="K118" t="str">
        <v>PM : onTime</v>
      </c>
      <c r="L118" t="str">
        <v>PM : ABS</v>
      </c>
      <c r="M118" t="str">
        <v>PM : ABS</v>
      </c>
      <c r="N118" t="str">
        <v>PM : ABS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</row>
    <row r="119" spans="1:37">
      <c r="A119" t="str">
        <v>Amal Hakem Alenezi</v>
      </c>
      <c r="B119">
        <v>80127739</v>
      </c>
      <c r="C119">
        <v>80127739</v>
      </c>
      <c r="D119" t="str">
        <v>Central</v>
      </c>
      <c r="E119" t="str">
        <v>SAF036C</v>
      </c>
      <c r="F119" t="str">
        <v>PM : onTime</v>
      </c>
      <c r="G119" t="str">
        <v>PM : onTime</v>
      </c>
      <c r="H119" t="str">
        <v>PM : onTime</v>
      </c>
      <c r="I119" t="str">
        <v>PM : onTime</v>
      </c>
      <c r="J119" t="str">
        <v>OFF</v>
      </c>
      <c r="K119" t="str">
        <v>PM : DELAY</v>
      </c>
      <c r="L119" t="str">
        <v>PM : ABS</v>
      </c>
      <c r="M119" t="str">
        <v>PM : ABS</v>
      </c>
      <c r="N119" t="str">
        <v>PM : ABS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</row>
  </sheetData>
  <mergeCells count="1">
    <mergeCell ref="A1:M1"/>
  </mergeCells>
  <conditionalFormatting sqref="A9:O119">
    <cfRule type="containsText" dxfId="12" priority="7" operator="containsText" text="ABS">
      <formula>NOT(ISERROR(SEARCH("ABS",A9)))</formula>
    </cfRule>
  </conditionalFormatting>
  <conditionalFormatting sqref="A9:AK121">
    <cfRule type="containsText" dxfId="11" priority="1" operator="containsText" text="onTime">
      <formula>NOT(ISERROR(SEARCH("onTime",A9)))</formula>
    </cfRule>
  </conditionalFormatting>
  <conditionalFormatting sqref="A9:AZ120">
    <cfRule type="containsText" dxfId="10" priority="2" operator="containsText" text="DELAY">
      <formula>NOT(ISERROR(SEARCH("DELAY",A9)))</formula>
    </cfRule>
  </conditionalFormatting>
  <conditionalFormatting sqref="A9:XFD103">
    <cfRule type="containsText" dxfId="9" priority="3" operator="containsText" text="DELAY">
      <formula>NOT(ISERROR(SEARCH("DELAY",A9)))</formula>
    </cfRule>
  </conditionalFormatting>
  <conditionalFormatting sqref="C9:P31">
    <cfRule type="containsText" dxfId="8" priority="8" operator="containsText" text="ABS">
      <formula>NOT(ISERROR(SEARCH("ABS",C9)))</formula>
    </cfRule>
  </conditionalFormatting>
  <conditionalFormatting sqref="D19">
    <cfRule type="containsText" dxfId="7" priority="9" operator="containsText" text="ABS">
      <formula>NOT(ISERROR(SEARCH("ABS",D19)))</formula>
    </cfRule>
  </conditionalFormatting>
  <conditionalFormatting sqref="D18:K105">
    <cfRule type="expression" dxfId="6" priority="10">
      <formula>ISNUMBER(SEARCH("onTime",D18))</formula>
    </cfRule>
    <cfRule type="expression" dxfId="5" priority="11">
      <formula>ISNUMBER(SEARCH("DELAY",D18))</formula>
    </cfRule>
    <cfRule type="expression" dxfId="4" priority="12">
      <formula>ISNUMBER(SEARCH("ABS",D18))</formula>
    </cfRule>
    <cfRule type="expression" dxfId="3" priority="13">
      <formula>ISNUMBER(SEARCH("OverTime",D18))</formula>
    </cfRule>
  </conditionalFormatting>
  <conditionalFormatting sqref="G6">
    <cfRule type="containsText" dxfId="2" priority="5" operator="containsText" text="DELAY">
      <formula>NOT(ISERROR(SEARCH("DELAY",G6)))</formula>
    </cfRule>
    <cfRule type="containsText" dxfId="1" priority="6" operator="containsText" text="DELAY">
      <formula>NOT(ISERROR(SEARCH("DELAY",G6)))</formula>
    </cfRule>
  </conditionalFormatting>
  <conditionalFormatting sqref="I7">
    <cfRule type="containsText" dxfId="0" priority="4" operator="containsText" text="Delay">
      <formula>NOT(ISERROR(SEARCH("Delay",I7)))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000-000002000000}">
          <x14:formula1>
            <xm:f>Managers!#REF!</xm:f>
          </x14:formula1>
          <xm:sqref>E3</xm:sqref>
        </x14:dataValidation>
        <x14:dataValidation type="list" xr:uid="{00000000-0002-0000-0000-000000000000}">
          <x14:formula1>
            <xm:f>Managers!$A$2:$A$8</xm:f>
          </x14:formula1>
          <xm:sqref>B3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5"/>
  <sheetViews>
    <sheetView workbookViewId="0">
      <selection activeCell="F2" sqref="F2"/>
    </sheetView>
  </sheetViews>
  <sheetFormatPr defaultRowHeight="14.25"/>
  <cols>
    <col min="1" max="1" width="32" customWidth="1"/>
    <col min="2" max="4" width="14" customWidth="1"/>
    <col min="5" max="5" width="26.375" bestFit="1" customWidth="1"/>
  </cols>
  <sheetData>
    <row r="1" spans="1:5" ht="15">
      <c r="A1" s="1" t="s">
        <v>13</v>
      </c>
      <c r="B1" s="1" t="s">
        <v>4</v>
      </c>
      <c r="C1" s="1" t="s">
        <v>14</v>
      </c>
      <c r="D1" s="1" t="s">
        <v>15</v>
      </c>
      <c r="E1" s="1" t="s">
        <v>16</v>
      </c>
    </row>
    <row r="2" spans="1:5">
      <c r="A2" t="s">
        <v>17</v>
      </c>
      <c r="B2">
        <v>80090048</v>
      </c>
      <c r="C2" t="s">
        <v>18</v>
      </c>
      <c r="D2" t="s">
        <v>19</v>
      </c>
      <c r="E2" t="str">
        <f>_xlfn.XLOOKUP(D2, Branches!$B$2:$B$100, Branches!$C$2:$C$100, "غير مسند")</f>
        <v>Zayed Al Subaie</v>
      </c>
    </row>
    <row r="3" spans="1:5">
      <c r="A3" t="s">
        <v>20</v>
      </c>
      <c r="B3">
        <v>80127574</v>
      </c>
      <c r="C3" t="s">
        <v>18</v>
      </c>
      <c r="D3" t="s">
        <v>21</v>
      </c>
      <c r="E3" t="str">
        <f>_xlfn.XLOOKUP(D3, Branches!$B$2:$B$100, Branches!$C$2:$C$100, "غير مسند")</f>
        <v>Zayed Al Subaie</v>
      </c>
    </row>
    <row r="4" spans="1:5">
      <c r="A4" t="s">
        <v>22</v>
      </c>
      <c r="B4">
        <v>80128943</v>
      </c>
      <c r="C4" t="s">
        <v>18</v>
      </c>
      <c r="D4" t="s">
        <v>23</v>
      </c>
      <c r="E4" t="str">
        <f>_xlfn.XLOOKUP(D4, Branches!$B$2:$B$100, Branches!$C$2:$C$100, "غير مسند")</f>
        <v>Zayed Al Subaie</v>
      </c>
    </row>
    <row r="5" spans="1:5">
      <c r="A5" t="s">
        <v>24</v>
      </c>
      <c r="B5">
        <v>80107450</v>
      </c>
      <c r="C5" t="s">
        <v>18</v>
      </c>
      <c r="D5" t="s">
        <v>25</v>
      </c>
      <c r="E5" t="str">
        <f>_xlfn.XLOOKUP(D5, Branches!$B$2:$B$100, Branches!$C$2:$C$100, "غير مسند")</f>
        <v>Zayed Al Subaie</v>
      </c>
    </row>
    <row r="6" spans="1:5">
      <c r="A6" t="s">
        <v>26</v>
      </c>
      <c r="B6">
        <v>80122917</v>
      </c>
      <c r="C6" t="s">
        <v>27</v>
      </c>
      <c r="D6" t="s">
        <v>28</v>
      </c>
      <c r="E6" t="str">
        <f>_xlfn.XLOOKUP(D6, Branches!$B$2:$B$100, Branches!$C$2:$C$100, "غير مسند")</f>
        <v>Mohammed Gobran Abdali</v>
      </c>
    </row>
    <row r="7" spans="1:5">
      <c r="A7" t="s">
        <v>29</v>
      </c>
      <c r="B7">
        <v>80114895</v>
      </c>
      <c r="C7" t="s">
        <v>30</v>
      </c>
      <c r="D7" t="s">
        <v>31</v>
      </c>
      <c r="E7" t="str">
        <f>_xlfn.XLOOKUP(D7, Branches!$B$2:$B$100, Branches!$C$2:$C$100, "غير مسند")</f>
        <v>Bandar Garziz</v>
      </c>
    </row>
    <row r="8" spans="1:5">
      <c r="A8" t="s">
        <v>32</v>
      </c>
      <c r="B8">
        <v>80123006</v>
      </c>
      <c r="C8" t="s">
        <v>27</v>
      </c>
      <c r="D8" t="s">
        <v>33</v>
      </c>
      <c r="E8" t="str">
        <f>_xlfn.XLOOKUP(D8, Branches!$B$2:$B$100, Branches!$C$2:$C$100, "غير مسند")</f>
        <v>Mohammed Gobran Abdali</v>
      </c>
    </row>
    <row r="9" spans="1:5">
      <c r="A9" t="s">
        <v>34</v>
      </c>
      <c r="B9">
        <v>80126642</v>
      </c>
      <c r="C9" t="s">
        <v>18</v>
      </c>
      <c r="D9" t="s">
        <v>35</v>
      </c>
      <c r="E9" t="str">
        <f>_xlfn.XLOOKUP(D9, Branches!$B$2:$B$100, Branches!$C$2:$C$100, "غير مسند")</f>
        <v>Zayed Al Subaie</v>
      </c>
    </row>
    <row r="10" spans="1:5">
      <c r="A10" t="s">
        <v>36</v>
      </c>
      <c r="B10">
        <v>80127811</v>
      </c>
      <c r="C10" t="s">
        <v>30</v>
      </c>
      <c r="D10" t="s">
        <v>37</v>
      </c>
      <c r="E10" t="str">
        <f>_xlfn.XLOOKUP(D10, Branches!$B$2:$B$100, Branches!$C$2:$C$100, "غير مسند")</f>
        <v>Abdul Rahman Mohsen Al Enzi</v>
      </c>
    </row>
    <row r="11" spans="1:5">
      <c r="A11" t="s">
        <v>38</v>
      </c>
      <c r="B11">
        <v>80072370</v>
      </c>
      <c r="C11" t="s">
        <v>18</v>
      </c>
      <c r="D11" t="s">
        <v>39</v>
      </c>
      <c r="E11" t="str">
        <f>_xlfn.XLOOKUP(D11, Branches!$B$2:$B$100, Branches!$C$2:$C$100, "غير مسند")</f>
        <v>Othman Al Sagri</v>
      </c>
    </row>
    <row r="12" spans="1:5">
      <c r="A12" t="s">
        <v>40</v>
      </c>
      <c r="B12">
        <v>80098147</v>
      </c>
      <c r="C12" t="s">
        <v>41</v>
      </c>
      <c r="D12" t="s">
        <v>42</v>
      </c>
      <c r="E12" t="str">
        <f>_xlfn.XLOOKUP(D12, Branches!$B$2:$B$100, Branches!$C$2:$C$100, "غير مسند")</f>
        <v>Mohammed Al - Gahtani</v>
      </c>
    </row>
    <row r="13" spans="1:5">
      <c r="A13" t="s">
        <v>43</v>
      </c>
      <c r="B13">
        <v>80075967</v>
      </c>
      <c r="C13" t="s">
        <v>18</v>
      </c>
      <c r="D13" t="s">
        <v>44</v>
      </c>
      <c r="E13" t="str">
        <f>_xlfn.XLOOKUP(D13, Branches!$B$2:$B$100, Branches!$C$2:$C$100, "غير مسند")</f>
        <v>Zayed Al Subaie</v>
      </c>
    </row>
    <row r="14" spans="1:5">
      <c r="A14" t="s">
        <v>45</v>
      </c>
      <c r="B14">
        <v>80089519</v>
      </c>
      <c r="C14" t="s">
        <v>46</v>
      </c>
      <c r="D14" t="s">
        <v>47</v>
      </c>
      <c r="E14" t="str">
        <f>_xlfn.XLOOKUP(D14, Branches!$B$2:$B$100, Branches!$C$2:$C$100, "غير مسند")</f>
        <v>Musab Hakami</v>
      </c>
    </row>
    <row r="15" spans="1:5">
      <c r="A15" t="s">
        <v>48</v>
      </c>
      <c r="B15">
        <v>80065984</v>
      </c>
      <c r="C15" t="s">
        <v>46</v>
      </c>
      <c r="D15" t="s">
        <v>49</v>
      </c>
      <c r="E15" t="str">
        <f>_xlfn.XLOOKUP(D15, Branches!$B$2:$B$100, Branches!$C$2:$C$100, "غير مسند")</f>
        <v>Musab Hakami</v>
      </c>
    </row>
    <row r="16" spans="1:5">
      <c r="A16" t="s">
        <v>50</v>
      </c>
      <c r="B16">
        <v>80122126</v>
      </c>
      <c r="C16" t="s">
        <v>18</v>
      </c>
      <c r="D16" t="s">
        <v>51</v>
      </c>
      <c r="E16" t="str">
        <f>_xlfn.XLOOKUP(D16, Branches!$B$2:$B$100, Branches!$C$2:$C$100, "غير مسند")</f>
        <v>Othman Al Sagri</v>
      </c>
    </row>
    <row r="17" spans="1:5">
      <c r="A17" t="s">
        <v>52</v>
      </c>
      <c r="B17">
        <v>80126587</v>
      </c>
      <c r="C17" t="s">
        <v>41</v>
      </c>
      <c r="D17" t="s">
        <v>53</v>
      </c>
      <c r="E17" t="str">
        <f>_xlfn.XLOOKUP(D17, Branches!$B$2:$B$100, Branches!$C$2:$C$100, "غير مسند")</f>
        <v>Mohammed Al - Gahtani</v>
      </c>
    </row>
    <row r="18" spans="1:5">
      <c r="A18" t="s">
        <v>54</v>
      </c>
      <c r="B18">
        <v>80128587</v>
      </c>
      <c r="C18" t="s">
        <v>46</v>
      </c>
      <c r="D18" t="s">
        <v>55</v>
      </c>
      <c r="E18" t="str">
        <f>_xlfn.XLOOKUP(D18, Branches!$B$2:$B$100, Branches!$C$2:$C$100, "غير مسند")</f>
        <v>Musab Hakami</v>
      </c>
    </row>
    <row r="19" spans="1:5">
      <c r="A19" t="s">
        <v>56</v>
      </c>
      <c r="B19">
        <v>80116435</v>
      </c>
      <c r="C19" t="s">
        <v>30</v>
      </c>
      <c r="D19" t="s">
        <v>57</v>
      </c>
      <c r="E19" t="str">
        <f>_xlfn.XLOOKUP(D19, Branches!$B$2:$B$100, Branches!$C$2:$C$100, "غير مسند")</f>
        <v>Abdul Rahman Mohsen Al Enzi</v>
      </c>
    </row>
    <row r="20" spans="1:5">
      <c r="A20" t="s">
        <v>58</v>
      </c>
      <c r="B20">
        <v>80123346</v>
      </c>
      <c r="C20" t="s">
        <v>41</v>
      </c>
      <c r="D20" t="s">
        <v>59</v>
      </c>
      <c r="E20" t="str">
        <f>_xlfn.XLOOKUP(D20, Branches!$B$2:$B$100, Branches!$C$2:$C$100, "غير مسند")</f>
        <v>Mohammed Al - Gahtani</v>
      </c>
    </row>
    <row r="21" spans="1:5">
      <c r="A21" t="s">
        <v>60</v>
      </c>
      <c r="B21">
        <v>80002044</v>
      </c>
      <c r="C21" t="s">
        <v>30</v>
      </c>
      <c r="D21" t="s">
        <v>61</v>
      </c>
      <c r="E21" t="str">
        <f>_xlfn.XLOOKUP(D21, Branches!$B$2:$B$100, Branches!$C$2:$C$100, "غير مسند")</f>
        <v>Abdul Rahman Mohsen Al Enzi</v>
      </c>
    </row>
    <row r="22" spans="1:5">
      <c r="A22" t="s">
        <v>62</v>
      </c>
      <c r="B22">
        <v>80120424</v>
      </c>
      <c r="C22" t="s">
        <v>46</v>
      </c>
      <c r="D22" t="s">
        <v>63</v>
      </c>
      <c r="E22" t="str">
        <f>_xlfn.XLOOKUP(D22, Branches!$B$2:$B$100, Branches!$C$2:$C$100, "غير مسند")</f>
        <v>Musab Hakami</v>
      </c>
    </row>
    <row r="23" spans="1:5">
      <c r="A23" t="s">
        <v>64</v>
      </c>
      <c r="B23">
        <v>80114892</v>
      </c>
      <c r="C23" t="s">
        <v>27</v>
      </c>
      <c r="D23" t="s">
        <v>65</v>
      </c>
      <c r="E23" t="str">
        <f>_xlfn.XLOOKUP(D23, Branches!$B$2:$B$100, Branches!$C$2:$C$100, "غير مسند")</f>
        <v>Mohammed Gobran Abdali</v>
      </c>
    </row>
    <row r="24" spans="1:5">
      <c r="A24" t="s">
        <v>66</v>
      </c>
      <c r="B24">
        <v>80092788</v>
      </c>
      <c r="C24" t="s">
        <v>27</v>
      </c>
      <c r="D24" t="s">
        <v>67</v>
      </c>
      <c r="E24" t="str">
        <f>_xlfn.XLOOKUP(D24, Branches!$B$2:$B$100, Branches!$C$2:$C$100, "غير مسند")</f>
        <v>Mohammed Gobran Abdali</v>
      </c>
    </row>
    <row r="25" spans="1:5">
      <c r="A25" t="s">
        <v>68</v>
      </c>
      <c r="B25">
        <v>80123620</v>
      </c>
      <c r="C25" t="s">
        <v>18</v>
      </c>
      <c r="D25" t="s">
        <v>69</v>
      </c>
      <c r="E25" t="str">
        <f>_xlfn.XLOOKUP(D25, Branches!$B$2:$B$100, Branches!$C$2:$C$100, "غير مسند")</f>
        <v>Zayed Al Subaie</v>
      </c>
    </row>
    <row r="26" spans="1:5">
      <c r="A26" t="s">
        <v>70</v>
      </c>
      <c r="B26">
        <v>80070943</v>
      </c>
      <c r="C26" t="s">
        <v>18</v>
      </c>
      <c r="D26" t="s">
        <v>71</v>
      </c>
      <c r="E26" t="str">
        <f>_xlfn.XLOOKUP(D26, Branches!$B$2:$B$100, Branches!$C$2:$C$100, "غير مسند")</f>
        <v>Zayed Al Subaie</v>
      </c>
    </row>
    <row r="27" spans="1:5">
      <c r="A27" t="s">
        <v>72</v>
      </c>
      <c r="B27">
        <v>80123550</v>
      </c>
      <c r="C27" t="s">
        <v>18</v>
      </c>
      <c r="D27" t="s">
        <v>73</v>
      </c>
      <c r="E27" t="str">
        <f>_xlfn.XLOOKUP(D27, Branches!$B$2:$B$100, Branches!$C$2:$C$100, "غير مسند")</f>
        <v>Zayed Al Subaie</v>
      </c>
    </row>
    <row r="28" spans="1:5">
      <c r="A28" t="s">
        <v>74</v>
      </c>
      <c r="B28">
        <v>80000075</v>
      </c>
      <c r="C28" t="s">
        <v>18</v>
      </c>
      <c r="D28" t="s">
        <v>75</v>
      </c>
      <c r="E28" t="str">
        <f>_xlfn.XLOOKUP(D28, Branches!$B$2:$B$100, Branches!$C$2:$C$100, "غير مسند")</f>
        <v>Othman Al Sagri</v>
      </c>
    </row>
    <row r="29" spans="1:5">
      <c r="A29" t="s">
        <v>76</v>
      </c>
      <c r="B29">
        <v>80121125</v>
      </c>
      <c r="C29" t="s">
        <v>30</v>
      </c>
      <c r="D29" t="s">
        <v>77</v>
      </c>
      <c r="E29" t="str">
        <f>_xlfn.XLOOKUP(D29, Branches!$B$2:$B$100, Branches!$C$2:$C$100, "غير مسند")</f>
        <v>Bandar Garziz</v>
      </c>
    </row>
    <row r="30" spans="1:5">
      <c r="A30" t="s">
        <v>78</v>
      </c>
      <c r="B30">
        <v>80104063</v>
      </c>
      <c r="C30" t="s">
        <v>27</v>
      </c>
      <c r="D30" t="s">
        <v>79</v>
      </c>
      <c r="E30" t="str">
        <f>_xlfn.XLOOKUP(D30, Branches!$B$2:$B$100, Branches!$C$2:$C$100, "غير مسند")</f>
        <v>Mohammed Gobran Abdali</v>
      </c>
    </row>
    <row r="31" spans="1:5">
      <c r="A31" t="s">
        <v>80</v>
      </c>
      <c r="B31">
        <v>80123294</v>
      </c>
      <c r="C31" t="s">
        <v>41</v>
      </c>
      <c r="D31" t="s">
        <v>81</v>
      </c>
      <c r="E31" t="str">
        <f>_xlfn.XLOOKUP(D31, Branches!$B$2:$B$100, Branches!$C$2:$C$100, "غير مسند")</f>
        <v>Mohammed Al - Gahtani</v>
      </c>
    </row>
    <row r="32" spans="1:5">
      <c r="A32" t="s">
        <v>82</v>
      </c>
      <c r="B32">
        <v>80129738</v>
      </c>
      <c r="C32" t="s">
        <v>46</v>
      </c>
      <c r="D32" t="s">
        <v>83</v>
      </c>
      <c r="E32" t="str">
        <f>_xlfn.XLOOKUP(D32, Branches!$B$2:$B$100, Branches!$C$2:$C$100, "غير مسند")</f>
        <v>Musab Hakami</v>
      </c>
    </row>
    <row r="33" spans="1:5">
      <c r="A33" t="s">
        <v>84</v>
      </c>
      <c r="B33">
        <v>80107716</v>
      </c>
      <c r="C33" t="s">
        <v>30</v>
      </c>
      <c r="D33" t="s">
        <v>85</v>
      </c>
      <c r="E33" t="str">
        <f>_xlfn.XLOOKUP(D33, Branches!$B$2:$B$100, Branches!$C$2:$C$100, "غير مسند")</f>
        <v>Bandar Garziz</v>
      </c>
    </row>
    <row r="34" spans="1:5">
      <c r="A34" t="s">
        <v>86</v>
      </c>
      <c r="B34">
        <v>80129936</v>
      </c>
      <c r="C34" t="s">
        <v>18</v>
      </c>
      <c r="D34" t="s">
        <v>87</v>
      </c>
      <c r="E34" t="str">
        <f>_xlfn.XLOOKUP(D34, Branches!$B$2:$B$100, Branches!$C$2:$C$100, "غير مسند")</f>
        <v>Zayed Al Subaie</v>
      </c>
    </row>
    <row r="35" spans="1:5">
      <c r="A35" t="s">
        <v>88</v>
      </c>
      <c r="B35">
        <v>80118270</v>
      </c>
      <c r="C35" t="s">
        <v>18</v>
      </c>
      <c r="D35" t="s">
        <v>89</v>
      </c>
      <c r="E35" t="str">
        <f>_xlfn.XLOOKUP(D35, Branches!$B$2:$B$100, Branches!$C$2:$C$100, "غير مسند")</f>
        <v>Zayed Al Subaie</v>
      </c>
    </row>
    <row r="36" spans="1:5">
      <c r="A36" t="s">
        <v>90</v>
      </c>
      <c r="B36">
        <v>80125977</v>
      </c>
      <c r="C36" t="s">
        <v>46</v>
      </c>
      <c r="D36" t="s">
        <v>91</v>
      </c>
      <c r="E36" t="str">
        <f>_xlfn.XLOOKUP(D36, Branches!$B$2:$B$100, Branches!$C$2:$C$100, "غير مسند")</f>
        <v>Musab Hakami</v>
      </c>
    </row>
    <row r="37" spans="1:5">
      <c r="A37" t="s">
        <v>92</v>
      </c>
      <c r="B37">
        <v>80129022</v>
      </c>
      <c r="C37" t="s">
        <v>27</v>
      </c>
      <c r="D37" t="s">
        <v>93</v>
      </c>
      <c r="E37" t="str">
        <f>_xlfn.XLOOKUP(D37, Branches!$B$2:$B$100, Branches!$C$2:$C$100, "غير مسند")</f>
        <v>Mohammed Gobran Abdali</v>
      </c>
    </row>
    <row r="38" spans="1:5">
      <c r="A38" t="s">
        <v>94</v>
      </c>
      <c r="B38">
        <v>80126088</v>
      </c>
      <c r="C38" t="s">
        <v>18</v>
      </c>
      <c r="D38" t="s">
        <v>95</v>
      </c>
      <c r="E38" t="str">
        <f>_xlfn.XLOOKUP(D38, Branches!$B$2:$B$100, Branches!$C$2:$C$100, "غير مسند")</f>
        <v>Zayed Al Subaie</v>
      </c>
    </row>
    <row r="39" spans="1:5">
      <c r="A39" t="s">
        <v>96</v>
      </c>
      <c r="B39">
        <v>80100726</v>
      </c>
      <c r="C39" t="s">
        <v>18</v>
      </c>
      <c r="D39" t="s">
        <v>97</v>
      </c>
      <c r="E39" t="str">
        <f>_xlfn.XLOOKUP(D39, Branches!$B$2:$B$100, Branches!$C$2:$C$100, "غير مسند")</f>
        <v>Zayed Al Subaie</v>
      </c>
    </row>
    <row r="40" spans="1:5">
      <c r="A40" t="s">
        <v>98</v>
      </c>
      <c r="B40">
        <v>80117786</v>
      </c>
      <c r="C40" t="s">
        <v>18</v>
      </c>
      <c r="D40" t="s">
        <v>99</v>
      </c>
      <c r="E40" t="str">
        <f>_xlfn.XLOOKUP(D40, Branches!$B$2:$B$100, Branches!$C$2:$C$100, "غير مسند")</f>
        <v>Othman Al Sagri</v>
      </c>
    </row>
    <row r="41" spans="1:5">
      <c r="A41" t="s">
        <v>100</v>
      </c>
      <c r="B41">
        <v>80099733</v>
      </c>
      <c r="C41" t="s">
        <v>30</v>
      </c>
      <c r="D41" t="s">
        <v>101</v>
      </c>
      <c r="E41" t="str">
        <f>_xlfn.XLOOKUP(D41, Branches!$B$2:$B$100, Branches!$C$2:$C$100, "غير مسند")</f>
        <v>Abdul Rahman Mohsen Al Enzi</v>
      </c>
    </row>
    <row r="42" spans="1:5">
      <c r="A42" t="s">
        <v>102</v>
      </c>
      <c r="B42">
        <v>80117590</v>
      </c>
      <c r="C42" t="s">
        <v>30</v>
      </c>
      <c r="D42" t="s">
        <v>103</v>
      </c>
      <c r="E42" t="str">
        <f>_xlfn.XLOOKUP(D42, Branches!$B$2:$B$100, Branches!$C$2:$C$100, "غير مسند")</f>
        <v>Bandar Garziz</v>
      </c>
    </row>
    <row r="43" spans="1:5">
      <c r="A43" t="s">
        <v>104</v>
      </c>
      <c r="B43">
        <v>80112177</v>
      </c>
      <c r="C43" t="s">
        <v>30</v>
      </c>
      <c r="D43" t="s">
        <v>105</v>
      </c>
      <c r="E43" t="str">
        <f>_xlfn.XLOOKUP(D43, Branches!$B$2:$B$100, Branches!$C$2:$C$100, "غير مسند")</f>
        <v>Bandar Garziz</v>
      </c>
    </row>
    <row r="44" spans="1:5">
      <c r="A44" t="s">
        <v>106</v>
      </c>
      <c r="B44">
        <v>80126589</v>
      </c>
      <c r="C44" t="s">
        <v>41</v>
      </c>
      <c r="D44" t="s">
        <v>107</v>
      </c>
      <c r="E44" t="str">
        <f>_xlfn.XLOOKUP(D44, Branches!$B$2:$B$100, Branches!$C$2:$C$100, "غير مسند")</f>
        <v>Mohammed Al - Gahtani</v>
      </c>
    </row>
    <row r="45" spans="1:5">
      <c r="A45" t="s">
        <v>108</v>
      </c>
      <c r="B45">
        <v>80127861</v>
      </c>
      <c r="C45" t="s">
        <v>18</v>
      </c>
      <c r="D45" t="s">
        <v>109</v>
      </c>
      <c r="E45" t="str">
        <f>_xlfn.XLOOKUP(D45, Branches!$B$2:$B$100, Branches!$C$2:$C$100, "غير مسند")</f>
        <v>Zayed Al Subaie</v>
      </c>
    </row>
    <row r="46" spans="1:5">
      <c r="A46" t="s">
        <v>110</v>
      </c>
      <c r="B46">
        <v>80114062</v>
      </c>
      <c r="C46" t="s">
        <v>27</v>
      </c>
      <c r="D46" t="s">
        <v>111</v>
      </c>
      <c r="E46" t="str">
        <f>_xlfn.XLOOKUP(D46, Branches!$B$2:$B$100, Branches!$C$2:$C$100, "غير مسند")</f>
        <v>Mohammed Gobran Abdali</v>
      </c>
    </row>
    <row r="47" spans="1:5">
      <c r="A47" t="s">
        <v>112</v>
      </c>
      <c r="B47">
        <v>80094859</v>
      </c>
      <c r="C47" t="s">
        <v>18</v>
      </c>
      <c r="D47" t="s">
        <v>113</v>
      </c>
      <c r="E47" t="str">
        <f>_xlfn.XLOOKUP(D47, Branches!$B$2:$B$100, Branches!$C$2:$C$100, "غير مسند")</f>
        <v>Zayed Al Subaie</v>
      </c>
    </row>
    <row r="48" spans="1:5">
      <c r="A48" t="s">
        <v>114</v>
      </c>
      <c r="B48">
        <v>80127739</v>
      </c>
      <c r="C48" t="s">
        <v>18</v>
      </c>
      <c r="D48" t="s">
        <v>115</v>
      </c>
      <c r="E48" t="str">
        <f>_xlfn.XLOOKUP(D48, Branches!$B$2:$B$100, Branches!$C$2:$C$100, "غير مسند")</f>
        <v>Zayed Al Subaie</v>
      </c>
    </row>
    <row r="49" spans="1:5">
      <c r="A49" t="s">
        <v>116</v>
      </c>
      <c r="B49">
        <v>80121513</v>
      </c>
      <c r="C49" t="s">
        <v>18</v>
      </c>
      <c r="D49" t="s">
        <v>117</v>
      </c>
      <c r="E49" t="str">
        <f>_xlfn.XLOOKUP(D49, Branches!$B$2:$B$100, Branches!$C$2:$C$100, "غير مسند")</f>
        <v>Zayed Al Subaie</v>
      </c>
    </row>
    <row r="50" spans="1:5">
      <c r="A50" t="s">
        <v>118</v>
      </c>
      <c r="B50">
        <v>80067121</v>
      </c>
      <c r="C50" t="s">
        <v>46</v>
      </c>
      <c r="D50" t="s">
        <v>119</v>
      </c>
      <c r="E50" t="str">
        <f>_xlfn.XLOOKUP(D50, Branches!$B$2:$B$100, Branches!$C$2:$C$100, "غير مسند")</f>
        <v>Musab Hakami</v>
      </c>
    </row>
    <row r="51" spans="1:5">
      <c r="A51" t="s">
        <v>120</v>
      </c>
      <c r="B51">
        <v>80127803</v>
      </c>
      <c r="C51" t="s">
        <v>18</v>
      </c>
      <c r="D51" t="s">
        <v>121</v>
      </c>
      <c r="E51" t="str">
        <f>_xlfn.XLOOKUP(D51, Branches!$B$2:$B$100, Branches!$C$2:$C$100, "غير مسند")</f>
        <v>Zayed Al Subaie</v>
      </c>
    </row>
    <row r="52" spans="1:5">
      <c r="A52" t="s">
        <v>122</v>
      </c>
      <c r="B52">
        <v>80104727</v>
      </c>
      <c r="C52" t="s">
        <v>46</v>
      </c>
      <c r="D52" t="s">
        <v>123</v>
      </c>
      <c r="E52" t="str">
        <f>_xlfn.XLOOKUP(D52, Branches!$B$2:$B$100, Branches!$C$2:$C$100, "غير مسند")</f>
        <v>Musab Hakami</v>
      </c>
    </row>
    <row r="53" spans="1:5">
      <c r="A53" t="s">
        <v>124</v>
      </c>
      <c r="B53">
        <v>80125115</v>
      </c>
      <c r="C53" t="s">
        <v>18</v>
      </c>
      <c r="D53" t="s">
        <v>125</v>
      </c>
      <c r="E53" t="str">
        <f>_xlfn.XLOOKUP(D53, Branches!$B$2:$B$100, Branches!$C$2:$C$100, "غير مسند")</f>
        <v>Zayed Al Subaie</v>
      </c>
    </row>
    <row r="54" spans="1:5">
      <c r="A54" t="s">
        <v>126</v>
      </c>
      <c r="B54">
        <v>80125803</v>
      </c>
      <c r="C54" t="s">
        <v>18</v>
      </c>
      <c r="D54" t="s">
        <v>127</v>
      </c>
      <c r="E54" t="str">
        <f>_xlfn.XLOOKUP(D54, Branches!$B$2:$B$100, Branches!$C$2:$C$100, "غير مسند")</f>
        <v>Zayed Al Subaie</v>
      </c>
    </row>
    <row r="55" spans="1:5">
      <c r="A55" t="s">
        <v>128</v>
      </c>
      <c r="B55">
        <v>80126588</v>
      </c>
      <c r="C55" t="s">
        <v>30</v>
      </c>
      <c r="D55" t="s">
        <v>129</v>
      </c>
      <c r="E55" t="str">
        <f>_xlfn.XLOOKUP(D55, Branches!$B$2:$B$100, Branches!$C$2:$C$100, "غير مسند")</f>
        <v>Bandar Garziz</v>
      </c>
    </row>
    <row r="56" spans="1:5">
      <c r="A56" t="s">
        <v>130</v>
      </c>
      <c r="B56">
        <v>80104417</v>
      </c>
      <c r="C56" t="s">
        <v>41</v>
      </c>
      <c r="D56" t="s">
        <v>131</v>
      </c>
      <c r="E56" t="str">
        <f>_xlfn.XLOOKUP(D56, Branches!$B$2:$B$100, Branches!$C$2:$C$100, "غير مسند")</f>
        <v>Mohammed Al - Gahtani</v>
      </c>
    </row>
    <row r="57" spans="1:5">
      <c r="A57" t="s">
        <v>132</v>
      </c>
      <c r="B57">
        <v>80124809</v>
      </c>
      <c r="C57" t="s">
        <v>30</v>
      </c>
      <c r="D57" t="s">
        <v>133</v>
      </c>
      <c r="E57" t="str">
        <f>_xlfn.XLOOKUP(D57, Branches!$B$2:$B$100, Branches!$C$2:$C$100, "غير مسند")</f>
        <v>Bandar Garziz</v>
      </c>
    </row>
    <row r="58" spans="1:5">
      <c r="A58" t="s">
        <v>134</v>
      </c>
      <c r="B58">
        <v>80103935</v>
      </c>
      <c r="C58" t="s">
        <v>30</v>
      </c>
      <c r="D58" t="s">
        <v>135</v>
      </c>
      <c r="E58" t="str">
        <f>_xlfn.XLOOKUP(D58, Branches!$B$2:$B$100, Branches!$C$2:$C$100, "غير مسند")</f>
        <v>Abdul Rahman Mohsen Al Enzi</v>
      </c>
    </row>
    <row r="59" spans="1:5">
      <c r="A59" t="s">
        <v>136</v>
      </c>
      <c r="B59">
        <v>80127722</v>
      </c>
      <c r="C59" t="s">
        <v>18</v>
      </c>
      <c r="D59" t="s">
        <v>137</v>
      </c>
      <c r="E59" t="str">
        <f>_xlfn.XLOOKUP(D59, Branches!$B$2:$B$100, Branches!$C$2:$C$100, "غير مسند")</f>
        <v>Zayed Al Subaie</v>
      </c>
    </row>
    <row r="60" spans="1:5">
      <c r="A60" t="s">
        <v>138</v>
      </c>
      <c r="B60">
        <v>80129791</v>
      </c>
      <c r="C60" t="s">
        <v>27</v>
      </c>
      <c r="D60" t="s">
        <v>139</v>
      </c>
      <c r="E60" t="str">
        <f>_xlfn.XLOOKUP(D60, Branches!$B$2:$B$100, Branches!$C$2:$C$100, "غير مسند")</f>
        <v>Mohammed Gobran Abdali</v>
      </c>
    </row>
    <row r="61" spans="1:5">
      <c r="A61" t="s">
        <v>140</v>
      </c>
      <c r="B61">
        <v>80125739</v>
      </c>
      <c r="C61" t="s">
        <v>41</v>
      </c>
      <c r="D61" t="s">
        <v>141</v>
      </c>
      <c r="E61" t="str">
        <f>_xlfn.XLOOKUP(D61, Branches!$B$2:$B$100, Branches!$C$2:$C$100, "غير مسند")</f>
        <v>Mohammed Al - Gahtani</v>
      </c>
    </row>
    <row r="62" spans="1:5">
      <c r="A62" t="s">
        <v>142</v>
      </c>
      <c r="B62">
        <v>80002160</v>
      </c>
      <c r="C62" t="s">
        <v>18</v>
      </c>
      <c r="D62" t="s">
        <v>143</v>
      </c>
      <c r="E62" t="str">
        <f>_xlfn.XLOOKUP(D62, Branches!$B$2:$B$100, Branches!$C$2:$C$100, "غير مسند")</f>
        <v>Zayed Al Subaie</v>
      </c>
    </row>
    <row r="63" spans="1:5">
      <c r="A63" t="s">
        <v>144</v>
      </c>
      <c r="B63">
        <v>80064519</v>
      </c>
      <c r="C63" t="s">
        <v>18</v>
      </c>
      <c r="D63" t="s">
        <v>145</v>
      </c>
      <c r="E63" t="str">
        <f>_xlfn.XLOOKUP(D63, Branches!$B$2:$B$100, Branches!$C$2:$C$100, "غير مسند")</f>
        <v>Zayed Al Subaie</v>
      </c>
    </row>
    <row r="64" spans="1:5">
      <c r="A64" t="s">
        <v>146</v>
      </c>
      <c r="B64">
        <v>80114051</v>
      </c>
      <c r="C64" t="s">
        <v>30</v>
      </c>
      <c r="D64" t="s">
        <v>147</v>
      </c>
      <c r="E64" t="str">
        <f>_xlfn.XLOOKUP(D64, Branches!$B$2:$B$100, Branches!$C$2:$C$100, "غير مسند")</f>
        <v>Abdul Rahman Mohsen Al Enzi</v>
      </c>
    </row>
    <row r="65" spans="1:5">
      <c r="A65" t="s">
        <v>148</v>
      </c>
      <c r="B65">
        <v>80002499</v>
      </c>
      <c r="C65" t="s">
        <v>30</v>
      </c>
      <c r="D65" t="s">
        <v>149</v>
      </c>
      <c r="E65" t="str">
        <f>_xlfn.XLOOKUP(D65, Branches!$B$2:$B$100, Branches!$C$2:$C$100, "غير مسند")</f>
        <v>Bandar Garziz</v>
      </c>
    </row>
    <row r="66" spans="1:5">
      <c r="A66" t="s">
        <v>150</v>
      </c>
      <c r="B66">
        <v>80118850</v>
      </c>
      <c r="C66" t="s">
        <v>46</v>
      </c>
      <c r="D66" t="s">
        <v>151</v>
      </c>
      <c r="E66" t="str">
        <f>_xlfn.XLOOKUP(D66, Branches!$B$2:$B$100, Branches!$C$2:$C$100, "غير مسند")</f>
        <v>Musab Hakami</v>
      </c>
    </row>
    <row r="67" spans="1:5">
      <c r="A67" t="s">
        <v>152</v>
      </c>
      <c r="B67">
        <v>80120701</v>
      </c>
      <c r="C67" t="s">
        <v>27</v>
      </c>
      <c r="D67" t="s">
        <v>153</v>
      </c>
      <c r="E67" t="str">
        <f>_xlfn.XLOOKUP(D67, Branches!$B$2:$B$100, Branches!$C$2:$C$100, "غير مسند")</f>
        <v>Mohammed Gobran Abdali</v>
      </c>
    </row>
    <row r="68" spans="1:5">
      <c r="A68" t="s">
        <v>154</v>
      </c>
      <c r="B68">
        <v>80115732</v>
      </c>
      <c r="C68" t="s">
        <v>18</v>
      </c>
      <c r="D68" t="s">
        <v>155</v>
      </c>
      <c r="E68" t="str">
        <f>_xlfn.XLOOKUP(D68, Branches!$B$2:$B$100, Branches!$C$2:$C$100, "غير مسند")</f>
        <v>Zayed Al Subaie</v>
      </c>
    </row>
    <row r="69" spans="1:5">
      <c r="A69" t="s">
        <v>156</v>
      </c>
      <c r="B69">
        <v>80122132</v>
      </c>
      <c r="C69" t="s">
        <v>41</v>
      </c>
      <c r="D69" t="s">
        <v>157</v>
      </c>
      <c r="E69" t="str">
        <f>_xlfn.XLOOKUP(D69, Branches!$B$2:$B$100, Branches!$C$2:$C$100, "غير مسند")</f>
        <v>Mohammed Al - Gahtani</v>
      </c>
    </row>
    <row r="70" spans="1:5">
      <c r="A70" t="s">
        <v>158</v>
      </c>
      <c r="B70">
        <v>80042826</v>
      </c>
      <c r="C70" t="s">
        <v>46</v>
      </c>
      <c r="D70" t="s">
        <v>159</v>
      </c>
      <c r="E70" t="str">
        <f>_xlfn.XLOOKUP(D70, Branches!$B$2:$B$100, Branches!$C$2:$C$100, "غير مسند")</f>
        <v>Musab Hakami</v>
      </c>
    </row>
    <row r="71" spans="1:5">
      <c r="A71" t="s">
        <v>160</v>
      </c>
      <c r="B71">
        <v>80127488</v>
      </c>
      <c r="C71" t="s">
        <v>46</v>
      </c>
      <c r="D71" t="s">
        <v>161</v>
      </c>
      <c r="E71" t="str">
        <f>_xlfn.XLOOKUP(D71, Branches!$B$2:$B$100, Branches!$C$2:$C$100, "غير مسند")</f>
        <v>Musab Hakami</v>
      </c>
    </row>
    <row r="72" spans="1:5">
      <c r="A72" t="s">
        <v>162</v>
      </c>
      <c r="B72">
        <v>80097542</v>
      </c>
      <c r="C72" t="s">
        <v>30</v>
      </c>
      <c r="D72" t="s">
        <v>163</v>
      </c>
      <c r="E72" t="str">
        <f>_xlfn.XLOOKUP(D72, Branches!$B$2:$B$100, Branches!$C$2:$C$100, "غير مسند")</f>
        <v>Bandar Garziz</v>
      </c>
    </row>
    <row r="73" spans="1:5">
      <c r="A73" t="s">
        <v>164</v>
      </c>
      <c r="B73">
        <v>80000001</v>
      </c>
      <c r="C73" t="s">
        <v>18</v>
      </c>
      <c r="D73" t="s">
        <v>165</v>
      </c>
      <c r="E73" t="str">
        <f>_xlfn.XLOOKUP(D73, Branches!$B$2:$B$100, Branches!$C$2:$C$100, "غير مسند")</f>
        <v>Zayed Al Subaie</v>
      </c>
    </row>
    <row r="74" spans="1:5">
      <c r="A74" t="s">
        <v>166</v>
      </c>
      <c r="B74">
        <v>80128435</v>
      </c>
      <c r="C74" t="s">
        <v>27</v>
      </c>
      <c r="D74" t="s">
        <v>167</v>
      </c>
      <c r="E74" t="str">
        <f>_xlfn.XLOOKUP(D74, Branches!$B$2:$B$100, Branches!$C$2:$C$100, "غير مسند")</f>
        <v>Mohammed Gobran Abdali</v>
      </c>
    </row>
    <row r="75" spans="1:5">
      <c r="A75" t="s">
        <v>168</v>
      </c>
      <c r="B75">
        <v>80114460</v>
      </c>
      <c r="C75" t="s">
        <v>30</v>
      </c>
      <c r="D75" t="s">
        <v>169</v>
      </c>
      <c r="E75" t="str">
        <f>_xlfn.XLOOKUP(D75, Branches!$B$2:$B$100, Branches!$C$2:$C$100, "غير مسند")</f>
        <v>Bandar Garziz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8"/>
  <sheetViews>
    <sheetView workbookViewId="0">
      <selection activeCell="B2" sqref="B2"/>
    </sheetView>
  </sheetViews>
  <sheetFormatPr defaultRowHeight="14.25"/>
  <cols>
    <col min="1" max="1" width="27.875" bestFit="1" customWidth="1"/>
  </cols>
  <sheetData>
    <row r="1" spans="1:1" ht="15">
      <c r="A1" s="9" t="s">
        <v>170</v>
      </c>
    </row>
    <row r="2" spans="1:1" ht="15.75">
      <c r="A2" s="8" t="s">
        <v>436</v>
      </c>
    </row>
    <row r="3" spans="1:1" ht="15.75">
      <c r="A3" s="8" t="s">
        <v>435</v>
      </c>
    </row>
    <row r="4" spans="1:1" ht="15.75">
      <c r="A4" s="8" t="s">
        <v>430</v>
      </c>
    </row>
    <row r="5" spans="1:1" ht="15.75">
      <c r="A5" s="8" t="s">
        <v>431</v>
      </c>
    </row>
    <row r="6" spans="1:1" ht="15.75">
      <c r="A6" s="8" t="s">
        <v>432</v>
      </c>
    </row>
    <row r="7" spans="1:1" ht="15.75">
      <c r="A7" s="8" t="s">
        <v>433</v>
      </c>
    </row>
    <row r="8" spans="1:1" ht="15.75">
      <c r="A8" s="8" t="s">
        <v>434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6E61B-5852-447A-952C-BB72C8E7A3A6}">
  <dimension ref="A1:C75"/>
  <sheetViews>
    <sheetView workbookViewId="0">
      <selection activeCell="E2" sqref="E2"/>
    </sheetView>
  </sheetViews>
  <sheetFormatPr defaultRowHeight="14.25"/>
  <cols>
    <col min="1" max="2" width="14" customWidth="1"/>
    <col min="3" max="3" width="35.375" customWidth="1"/>
  </cols>
  <sheetData>
    <row r="1" spans="1:3" ht="15">
      <c r="A1" s="1" t="s">
        <v>14</v>
      </c>
      <c r="B1" s="1" t="s">
        <v>15</v>
      </c>
      <c r="C1" s="1" t="s">
        <v>170</v>
      </c>
    </row>
    <row r="2" spans="1:3" ht="15.75">
      <c r="A2" t="s">
        <v>18</v>
      </c>
      <c r="B2" t="s">
        <v>19</v>
      </c>
      <c r="C2" s="8" t="s">
        <v>433</v>
      </c>
    </row>
    <row r="3" spans="1:3" ht="15.75">
      <c r="A3" t="s">
        <v>18</v>
      </c>
      <c r="B3" t="s">
        <v>21</v>
      </c>
      <c r="C3" s="8" t="s">
        <v>433</v>
      </c>
    </row>
    <row r="4" spans="1:3" ht="15.75">
      <c r="A4" t="s">
        <v>18</v>
      </c>
      <c r="B4" t="s">
        <v>23</v>
      </c>
      <c r="C4" s="8" t="s">
        <v>433</v>
      </c>
    </row>
    <row r="5" spans="1:3" ht="15.75">
      <c r="A5" t="s">
        <v>18</v>
      </c>
      <c r="B5" t="s">
        <v>25</v>
      </c>
      <c r="C5" s="8" t="s">
        <v>433</v>
      </c>
    </row>
    <row r="6" spans="1:3" ht="15.75">
      <c r="A6" t="s">
        <v>27</v>
      </c>
      <c r="B6" t="s">
        <v>28</v>
      </c>
      <c r="C6" s="8" t="s">
        <v>435</v>
      </c>
    </row>
    <row r="7" spans="1:3" ht="15.75">
      <c r="A7" t="s">
        <v>30</v>
      </c>
      <c r="B7" t="s">
        <v>31</v>
      </c>
      <c r="C7" s="8" t="s">
        <v>431</v>
      </c>
    </row>
    <row r="8" spans="1:3" ht="15.75">
      <c r="A8" t="s">
        <v>27</v>
      </c>
      <c r="B8" t="s">
        <v>33</v>
      </c>
      <c r="C8" s="8" t="s">
        <v>435</v>
      </c>
    </row>
    <row r="9" spans="1:3" ht="15.75">
      <c r="A9" t="s">
        <v>18</v>
      </c>
      <c r="B9" t="s">
        <v>35</v>
      </c>
      <c r="C9" s="8" t="s">
        <v>433</v>
      </c>
    </row>
    <row r="10" spans="1:3" ht="15.75">
      <c r="A10" t="s">
        <v>30</v>
      </c>
      <c r="B10" t="s">
        <v>37</v>
      </c>
      <c r="C10" s="8" t="s">
        <v>430</v>
      </c>
    </row>
    <row r="11" spans="1:3" ht="15.75">
      <c r="A11" t="s">
        <v>18</v>
      </c>
      <c r="B11" t="s">
        <v>39</v>
      </c>
      <c r="C11" s="8" t="s">
        <v>436</v>
      </c>
    </row>
    <row r="12" spans="1:3" ht="15.75">
      <c r="A12" t="s">
        <v>41</v>
      </c>
      <c r="B12" t="s">
        <v>42</v>
      </c>
      <c r="C12" s="8" t="s">
        <v>434</v>
      </c>
    </row>
    <row r="13" spans="1:3" ht="15.75">
      <c r="A13" t="s">
        <v>18</v>
      </c>
      <c r="B13" t="s">
        <v>44</v>
      </c>
      <c r="C13" s="8" t="s">
        <v>433</v>
      </c>
    </row>
    <row r="14" spans="1:3" ht="15.75">
      <c r="A14" t="s">
        <v>46</v>
      </c>
      <c r="B14" t="s">
        <v>47</v>
      </c>
      <c r="C14" s="8" t="s">
        <v>432</v>
      </c>
    </row>
    <row r="15" spans="1:3" ht="15.75">
      <c r="A15" t="s">
        <v>46</v>
      </c>
      <c r="B15" t="s">
        <v>49</v>
      </c>
      <c r="C15" s="8" t="s">
        <v>432</v>
      </c>
    </row>
    <row r="16" spans="1:3" ht="15.75">
      <c r="A16" t="s">
        <v>18</v>
      </c>
      <c r="B16" t="s">
        <v>51</v>
      </c>
      <c r="C16" s="8" t="s">
        <v>436</v>
      </c>
    </row>
    <row r="17" spans="1:3" ht="15.75">
      <c r="A17" t="s">
        <v>41</v>
      </c>
      <c r="B17" t="s">
        <v>53</v>
      </c>
      <c r="C17" s="8" t="s">
        <v>434</v>
      </c>
    </row>
    <row r="18" spans="1:3" ht="15.75">
      <c r="A18" t="s">
        <v>46</v>
      </c>
      <c r="B18" t="s">
        <v>55</v>
      </c>
      <c r="C18" s="8" t="s">
        <v>432</v>
      </c>
    </row>
    <row r="19" spans="1:3" ht="15.75">
      <c r="A19" t="s">
        <v>30</v>
      </c>
      <c r="B19" t="s">
        <v>57</v>
      </c>
      <c r="C19" s="8" t="s">
        <v>430</v>
      </c>
    </row>
    <row r="20" spans="1:3" ht="15.75">
      <c r="A20" t="s">
        <v>41</v>
      </c>
      <c r="B20" t="s">
        <v>59</v>
      </c>
      <c r="C20" s="8" t="s">
        <v>434</v>
      </c>
    </row>
    <row r="21" spans="1:3" ht="15.75">
      <c r="A21" t="s">
        <v>30</v>
      </c>
      <c r="B21" t="s">
        <v>61</v>
      </c>
      <c r="C21" s="8" t="s">
        <v>430</v>
      </c>
    </row>
    <row r="22" spans="1:3" ht="15.75">
      <c r="A22" t="s">
        <v>46</v>
      </c>
      <c r="B22" t="s">
        <v>63</v>
      </c>
      <c r="C22" s="8" t="s">
        <v>432</v>
      </c>
    </row>
    <row r="23" spans="1:3" ht="15.75">
      <c r="A23" t="s">
        <v>27</v>
      </c>
      <c r="B23" t="s">
        <v>65</v>
      </c>
      <c r="C23" s="8" t="s">
        <v>435</v>
      </c>
    </row>
    <row r="24" spans="1:3" ht="15.75">
      <c r="A24" t="s">
        <v>27</v>
      </c>
      <c r="B24" t="s">
        <v>67</v>
      </c>
      <c r="C24" s="8" t="s">
        <v>435</v>
      </c>
    </row>
    <row r="25" spans="1:3" ht="15.75">
      <c r="A25" t="s">
        <v>18</v>
      </c>
      <c r="B25" t="s">
        <v>69</v>
      </c>
      <c r="C25" s="8" t="s">
        <v>433</v>
      </c>
    </row>
    <row r="26" spans="1:3" ht="15.75">
      <c r="A26" t="s">
        <v>18</v>
      </c>
      <c r="B26" t="s">
        <v>71</v>
      </c>
      <c r="C26" s="8" t="s">
        <v>433</v>
      </c>
    </row>
    <row r="27" spans="1:3" ht="15.75">
      <c r="A27" t="s">
        <v>18</v>
      </c>
      <c r="B27" t="s">
        <v>73</v>
      </c>
      <c r="C27" s="8" t="s">
        <v>433</v>
      </c>
    </row>
    <row r="28" spans="1:3" ht="15.75">
      <c r="A28" t="s">
        <v>18</v>
      </c>
      <c r="B28" t="s">
        <v>75</v>
      </c>
      <c r="C28" s="8" t="s">
        <v>436</v>
      </c>
    </row>
    <row r="29" spans="1:3" ht="15.75">
      <c r="A29" t="s">
        <v>30</v>
      </c>
      <c r="B29" t="s">
        <v>77</v>
      </c>
      <c r="C29" s="8" t="s">
        <v>431</v>
      </c>
    </row>
    <row r="30" spans="1:3" ht="15.75">
      <c r="A30" t="s">
        <v>27</v>
      </c>
      <c r="B30" t="s">
        <v>79</v>
      </c>
      <c r="C30" s="8" t="s">
        <v>435</v>
      </c>
    </row>
    <row r="31" spans="1:3" ht="15.75">
      <c r="A31" t="s">
        <v>41</v>
      </c>
      <c r="B31" t="s">
        <v>81</v>
      </c>
      <c r="C31" s="8" t="s">
        <v>434</v>
      </c>
    </row>
    <row r="32" spans="1:3" ht="15.75">
      <c r="A32" t="s">
        <v>46</v>
      </c>
      <c r="B32" t="s">
        <v>83</v>
      </c>
      <c r="C32" s="8" t="s">
        <v>432</v>
      </c>
    </row>
    <row r="33" spans="1:3" ht="15.75">
      <c r="A33" t="s">
        <v>30</v>
      </c>
      <c r="B33" t="s">
        <v>85</v>
      </c>
      <c r="C33" s="8" t="s">
        <v>431</v>
      </c>
    </row>
    <row r="34" spans="1:3" ht="15.75">
      <c r="A34" t="s">
        <v>18</v>
      </c>
      <c r="B34" t="s">
        <v>87</v>
      </c>
      <c r="C34" s="8" t="s">
        <v>433</v>
      </c>
    </row>
    <row r="35" spans="1:3" ht="15.75">
      <c r="A35" t="s">
        <v>18</v>
      </c>
      <c r="B35" t="s">
        <v>89</v>
      </c>
      <c r="C35" s="8" t="s">
        <v>433</v>
      </c>
    </row>
    <row r="36" spans="1:3" ht="15.75">
      <c r="A36" t="s">
        <v>46</v>
      </c>
      <c r="B36" t="s">
        <v>91</v>
      </c>
      <c r="C36" s="8" t="s">
        <v>432</v>
      </c>
    </row>
    <row r="37" spans="1:3" ht="15.75">
      <c r="A37" t="s">
        <v>27</v>
      </c>
      <c r="B37" t="s">
        <v>93</v>
      </c>
      <c r="C37" s="8" t="s">
        <v>435</v>
      </c>
    </row>
    <row r="38" spans="1:3" ht="15.75">
      <c r="A38" t="s">
        <v>18</v>
      </c>
      <c r="B38" t="s">
        <v>95</v>
      </c>
      <c r="C38" s="8" t="s">
        <v>433</v>
      </c>
    </row>
    <row r="39" spans="1:3" ht="15.75">
      <c r="A39" t="s">
        <v>18</v>
      </c>
      <c r="B39" t="s">
        <v>97</v>
      </c>
      <c r="C39" s="8" t="s">
        <v>433</v>
      </c>
    </row>
    <row r="40" spans="1:3" ht="15.75">
      <c r="A40" t="s">
        <v>18</v>
      </c>
      <c r="B40" t="s">
        <v>99</v>
      </c>
      <c r="C40" s="8" t="s">
        <v>436</v>
      </c>
    </row>
    <row r="41" spans="1:3" ht="15.75">
      <c r="A41" t="s">
        <v>30</v>
      </c>
      <c r="B41" t="s">
        <v>101</v>
      </c>
      <c r="C41" s="8" t="s">
        <v>430</v>
      </c>
    </row>
    <row r="42" spans="1:3" ht="15.75">
      <c r="A42" t="s">
        <v>30</v>
      </c>
      <c r="B42" t="s">
        <v>103</v>
      </c>
      <c r="C42" s="8" t="s">
        <v>431</v>
      </c>
    </row>
    <row r="43" spans="1:3" ht="15.75">
      <c r="A43" t="s">
        <v>30</v>
      </c>
      <c r="B43" t="s">
        <v>105</v>
      </c>
      <c r="C43" s="8" t="s">
        <v>431</v>
      </c>
    </row>
    <row r="44" spans="1:3" ht="15.75">
      <c r="A44" t="s">
        <v>41</v>
      </c>
      <c r="B44" t="s">
        <v>107</v>
      </c>
      <c r="C44" s="8" t="s">
        <v>434</v>
      </c>
    </row>
    <row r="45" spans="1:3" ht="15.75">
      <c r="A45" t="s">
        <v>18</v>
      </c>
      <c r="B45" t="s">
        <v>109</v>
      </c>
      <c r="C45" s="8" t="s">
        <v>433</v>
      </c>
    </row>
    <row r="46" spans="1:3" ht="15.75">
      <c r="A46" t="s">
        <v>27</v>
      </c>
      <c r="B46" t="s">
        <v>111</v>
      </c>
      <c r="C46" s="8" t="s">
        <v>435</v>
      </c>
    </row>
    <row r="47" spans="1:3" ht="15.75">
      <c r="A47" t="s">
        <v>18</v>
      </c>
      <c r="B47" t="s">
        <v>113</v>
      </c>
      <c r="C47" s="8" t="s">
        <v>433</v>
      </c>
    </row>
    <row r="48" spans="1:3" ht="15.75">
      <c r="A48" t="s">
        <v>18</v>
      </c>
      <c r="B48" t="s">
        <v>115</v>
      </c>
      <c r="C48" s="8" t="s">
        <v>433</v>
      </c>
    </row>
    <row r="49" spans="1:3" ht="15.75">
      <c r="A49" t="s">
        <v>18</v>
      </c>
      <c r="B49" t="s">
        <v>117</v>
      </c>
      <c r="C49" s="8" t="s">
        <v>433</v>
      </c>
    </row>
    <row r="50" spans="1:3" ht="15.75">
      <c r="A50" t="s">
        <v>46</v>
      </c>
      <c r="B50" t="s">
        <v>119</v>
      </c>
      <c r="C50" s="8" t="s">
        <v>432</v>
      </c>
    </row>
    <row r="51" spans="1:3" ht="15.75">
      <c r="A51" t="s">
        <v>18</v>
      </c>
      <c r="B51" t="s">
        <v>121</v>
      </c>
      <c r="C51" s="8" t="s">
        <v>433</v>
      </c>
    </row>
    <row r="52" spans="1:3" ht="15.75">
      <c r="A52" t="s">
        <v>46</v>
      </c>
      <c r="B52" t="s">
        <v>123</v>
      </c>
      <c r="C52" s="8" t="s">
        <v>432</v>
      </c>
    </row>
    <row r="53" spans="1:3" ht="15.75">
      <c r="A53" t="s">
        <v>18</v>
      </c>
      <c r="B53" t="s">
        <v>125</v>
      </c>
      <c r="C53" s="8" t="s">
        <v>433</v>
      </c>
    </row>
    <row r="54" spans="1:3" ht="15.75">
      <c r="A54" t="s">
        <v>18</v>
      </c>
      <c r="B54" t="s">
        <v>127</v>
      </c>
      <c r="C54" s="8" t="s">
        <v>433</v>
      </c>
    </row>
    <row r="55" spans="1:3" ht="15.75">
      <c r="A55" t="s">
        <v>30</v>
      </c>
      <c r="B55" t="s">
        <v>129</v>
      </c>
      <c r="C55" s="8" t="s">
        <v>431</v>
      </c>
    </row>
    <row r="56" spans="1:3" ht="15.75">
      <c r="A56" t="s">
        <v>41</v>
      </c>
      <c r="B56" t="s">
        <v>131</v>
      </c>
      <c r="C56" s="8" t="s">
        <v>434</v>
      </c>
    </row>
    <row r="57" spans="1:3" ht="15.75">
      <c r="A57" t="s">
        <v>30</v>
      </c>
      <c r="B57" t="s">
        <v>133</v>
      </c>
      <c r="C57" s="8" t="s">
        <v>431</v>
      </c>
    </row>
    <row r="58" spans="1:3" ht="15.75">
      <c r="A58" t="s">
        <v>30</v>
      </c>
      <c r="B58" t="s">
        <v>135</v>
      </c>
      <c r="C58" s="8" t="s">
        <v>430</v>
      </c>
    </row>
    <row r="59" spans="1:3" ht="15.75">
      <c r="A59" t="s">
        <v>18</v>
      </c>
      <c r="B59" t="s">
        <v>137</v>
      </c>
      <c r="C59" s="8" t="s">
        <v>433</v>
      </c>
    </row>
    <row r="60" spans="1:3" ht="15.75">
      <c r="A60" t="s">
        <v>27</v>
      </c>
      <c r="B60" t="s">
        <v>139</v>
      </c>
      <c r="C60" s="8" t="s">
        <v>435</v>
      </c>
    </row>
    <row r="61" spans="1:3" ht="15.75">
      <c r="A61" t="s">
        <v>41</v>
      </c>
      <c r="B61" t="s">
        <v>141</v>
      </c>
      <c r="C61" s="8" t="s">
        <v>434</v>
      </c>
    </row>
    <row r="62" spans="1:3" ht="15.75">
      <c r="A62" t="s">
        <v>18</v>
      </c>
      <c r="B62" t="s">
        <v>143</v>
      </c>
      <c r="C62" s="8" t="s">
        <v>433</v>
      </c>
    </row>
    <row r="63" spans="1:3" ht="15.75">
      <c r="A63" t="s">
        <v>18</v>
      </c>
      <c r="B63" t="s">
        <v>145</v>
      </c>
      <c r="C63" s="8" t="s">
        <v>433</v>
      </c>
    </row>
    <row r="64" spans="1:3" ht="15.75">
      <c r="A64" t="s">
        <v>30</v>
      </c>
      <c r="B64" t="s">
        <v>147</v>
      </c>
      <c r="C64" s="8" t="s">
        <v>430</v>
      </c>
    </row>
    <row r="65" spans="1:3" ht="15.75">
      <c r="A65" t="s">
        <v>30</v>
      </c>
      <c r="B65" t="s">
        <v>149</v>
      </c>
      <c r="C65" s="8" t="s">
        <v>431</v>
      </c>
    </row>
    <row r="66" spans="1:3" ht="15.75">
      <c r="A66" t="s">
        <v>46</v>
      </c>
      <c r="B66" t="s">
        <v>151</v>
      </c>
      <c r="C66" s="8" t="s">
        <v>432</v>
      </c>
    </row>
    <row r="67" spans="1:3" ht="15.75">
      <c r="A67" t="s">
        <v>27</v>
      </c>
      <c r="B67" t="s">
        <v>153</v>
      </c>
      <c r="C67" s="8" t="s">
        <v>435</v>
      </c>
    </row>
    <row r="68" spans="1:3" ht="15.75">
      <c r="A68" t="s">
        <v>18</v>
      </c>
      <c r="B68" t="s">
        <v>155</v>
      </c>
      <c r="C68" s="8" t="s">
        <v>433</v>
      </c>
    </row>
    <row r="69" spans="1:3" ht="15.75">
      <c r="A69" t="s">
        <v>41</v>
      </c>
      <c r="B69" t="s">
        <v>157</v>
      </c>
      <c r="C69" s="8" t="s">
        <v>434</v>
      </c>
    </row>
    <row r="70" spans="1:3" ht="15.75">
      <c r="A70" t="s">
        <v>46</v>
      </c>
      <c r="B70" t="s">
        <v>159</v>
      </c>
      <c r="C70" s="8" t="s">
        <v>432</v>
      </c>
    </row>
    <row r="71" spans="1:3" ht="15.75">
      <c r="A71" t="s">
        <v>46</v>
      </c>
      <c r="B71" t="s">
        <v>161</v>
      </c>
      <c r="C71" s="8" t="s">
        <v>432</v>
      </c>
    </row>
    <row r="72" spans="1:3" ht="15.75">
      <c r="A72" t="s">
        <v>30</v>
      </c>
      <c r="B72" t="s">
        <v>163</v>
      </c>
      <c r="C72" s="8" t="s">
        <v>431</v>
      </c>
    </row>
    <row r="73" spans="1:3" ht="15.75">
      <c r="A73" t="s">
        <v>18</v>
      </c>
      <c r="B73" t="s">
        <v>165</v>
      </c>
      <c r="C73" s="8" t="s">
        <v>433</v>
      </c>
    </row>
    <row r="74" spans="1:3" ht="15.75">
      <c r="A74" t="s">
        <v>27</v>
      </c>
      <c r="B74" t="s">
        <v>167</v>
      </c>
      <c r="C74" s="8" t="s">
        <v>435</v>
      </c>
    </row>
    <row r="75" spans="1:3" ht="15.75">
      <c r="A75" t="s">
        <v>30</v>
      </c>
      <c r="B75" t="s">
        <v>169</v>
      </c>
      <c r="C75" s="8" t="s">
        <v>431</v>
      </c>
    </row>
  </sheetData>
  <autoFilter ref="A1:C75" xr:uid="{CB36E61B-5852-447A-952C-BB72C8E7A3A6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Z528"/>
  <sheetViews>
    <sheetView workbookViewId="0">
      <pane ySplit="1" topLeftCell="A2" activePane="bottomLeft" state="frozen"/>
      <selection pane="bottomLeft" activeCell="A315" sqref="A1:Z315"/>
    </sheetView>
  </sheetViews>
  <sheetFormatPr defaultRowHeight="14.25"/>
  <sheetData>
    <row r="1" spans="1:38">
      <c r="A1" s="22" t="s">
        <v>172</v>
      </c>
      <c r="B1" s="22" t="s">
        <v>4</v>
      </c>
      <c r="C1" s="22" t="s">
        <v>173</v>
      </c>
      <c r="D1" s="22" t="s">
        <v>443</v>
      </c>
      <c r="E1" s="22" t="s">
        <v>15</v>
      </c>
      <c r="F1" s="22">
        <v>1</v>
      </c>
      <c r="G1" s="22">
        <v>2</v>
      </c>
      <c r="H1" s="22">
        <v>3</v>
      </c>
      <c r="I1" s="22">
        <v>4</v>
      </c>
      <c r="J1" s="22">
        <v>5</v>
      </c>
      <c r="K1" s="22">
        <v>6</v>
      </c>
      <c r="L1" s="22">
        <v>7</v>
      </c>
      <c r="M1" s="22">
        <v>8</v>
      </c>
      <c r="N1" s="22">
        <v>9</v>
      </c>
      <c r="O1" s="22">
        <v>10</v>
      </c>
      <c r="P1" s="22">
        <v>11</v>
      </c>
      <c r="Q1" s="22">
        <v>12</v>
      </c>
      <c r="R1" s="22">
        <v>13</v>
      </c>
      <c r="S1" s="22">
        <v>14</v>
      </c>
      <c r="T1" s="22">
        <v>15</v>
      </c>
      <c r="U1" s="22">
        <v>16</v>
      </c>
      <c r="V1" s="22">
        <v>17</v>
      </c>
      <c r="W1" s="22">
        <v>18</v>
      </c>
      <c r="X1" s="22">
        <v>19</v>
      </c>
      <c r="Y1" s="22">
        <v>20</v>
      </c>
      <c r="Z1" s="22">
        <v>21</v>
      </c>
      <c r="AL1" s="11" t="s">
        <v>16</v>
      </c>
    </row>
    <row r="2" spans="1:38">
      <c r="A2" s="18" t="s">
        <v>17</v>
      </c>
      <c r="B2" s="18">
        <v>80090048</v>
      </c>
      <c r="C2" s="18">
        <v>80090048</v>
      </c>
      <c r="D2" s="18" t="s">
        <v>18</v>
      </c>
      <c r="E2" s="18" t="s">
        <v>19</v>
      </c>
      <c r="F2" s="18" t="s">
        <v>175</v>
      </c>
      <c r="G2" s="18" t="s">
        <v>175</v>
      </c>
      <c r="H2" s="18" t="s">
        <v>175</v>
      </c>
      <c r="I2" s="18" t="s">
        <v>176</v>
      </c>
      <c r="J2" s="19" t="s">
        <v>177</v>
      </c>
      <c r="K2" s="18" t="s">
        <v>175</v>
      </c>
      <c r="L2" s="18" t="s">
        <v>175</v>
      </c>
      <c r="M2" s="18" t="s">
        <v>175</v>
      </c>
      <c r="N2" s="15" t="s">
        <v>189</v>
      </c>
      <c r="O2" s="18" t="s">
        <v>175</v>
      </c>
      <c r="P2" s="18" t="s">
        <v>176</v>
      </c>
      <c r="Q2" s="19" t="s">
        <v>177</v>
      </c>
      <c r="R2" s="18" t="s">
        <v>175</v>
      </c>
      <c r="S2" s="18" t="s">
        <v>175</v>
      </c>
      <c r="T2" s="18" t="s">
        <v>175</v>
      </c>
      <c r="U2" s="19" t="s">
        <v>177</v>
      </c>
      <c r="V2" s="19" t="s">
        <v>177</v>
      </c>
      <c r="W2" s="18" t="s">
        <v>176</v>
      </c>
      <c r="X2" s="19" t="s">
        <v>177</v>
      </c>
      <c r="Y2" s="18" t="s">
        <v>175</v>
      </c>
      <c r="Z2" s="18" t="s">
        <v>175</v>
      </c>
      <c r="AL2" t="str">
        <f>IFERROR(_xlfn.XLOOKUP(E2, Branches!$B$2:$B$100, Branches!$C$2:$C$100, "خطأ في الكود"), "")</f>
        <v>Zayed Al Subaie</v>
      </c>
    </row>
    <row r="3" spans="1:38">
      <c r="A3" s="14" t="s">
        <v>20</v>
      </c>
      <c r="B3" s="14">
        <v>80127574</v>
      </c>
      <c r="C3" s="14">
        <v>80127574</v>
      </c>
      <c r="D3" s="18" t="s">
        <v>18</v>
      </c>
      <c r="E3" s="18" t="s">
        <v>21</v>
      </c>
      <c r="F3" s="19" t="s">
        <v>178</v>
      </c>
      <c r="G3" s="19" t="s">
        <v>178</v>
      </c>
      <c r="H3" s="19" t="s">
        <v>178</v>
      </c>
      <c r="I3" s="14" t="s">
        <v>176</v>
      </c>
      <c r="J3" s="14" t="s">
        <v>184</v>
      </c>
      <c r="K3" s="19" t="s">
        <v>178</v>
      </c>
      <c r="L3" s="19" t="s">
        <v>178</v>
      </c>
      <c r="M3" s="14" t="s">
        <v>181</v>
      </c>
      <c r="N3" s="14" t="s">
        <v>181</v>
      </c>
      <c r="O3" s="15" t="s">
        <v>180</v>
      </c>
      <c r="P3" s="14" t="s">
        <v>176</v>
      </c>
      <c r="Q3" s="14" t="s">
        <v>181</v>
      </c>
      <c r="R3" s="14" t="s">
        <v>181</v>
      </c>
      <c r="S3" s="19" t="s">
        <v>178</v>
      </c>
      <c r="T3" s="19" t="s">
        <v>178</v>
      </c>
      <c r="U3" s="19" t="s">
        <v>178</v>
      </c>
      <c r="V3" s="14" t="s">
        <v>181</v>
      </c>
      <c r="W3" s="14" t="s">
        <v>176</v>
      </c>
      <c r="X3" s="15" t="s">
        <v>180</v>
      </c>
      <c r="Y3" s="19" t="s">
        <v>178</v>
      </c>
      <c r="Z3" s="19" t="s">
        <v>178</v>
      </c>
      <c r="AL3" t="str">
        <f>IFERROR(_xlfn.XLOOKUP(E3, Branches!$B$2:$B$100, Branches!$C$2:$C$100, "خطأ في الكود"), "")</f>
        <v>Zayed Al Subaie</v>
      </c>
    </row>
    <row r="4" spans="1:38">
      <c r="A4" s="18" t="s">
        <v>22</v>
      </c>
      <c r="B4" s="18">
        <v>80128943</v>
      </c>
      <c r="C4" s="18">
        <v>80128943</v>
      </c>
      <c r="D4" s="18" t="s">
        <v>18</v>
      </c>
      <c r="E4" s="18" t="s">
        <v>23</v>
      </c>
      <c r="F4" s="18" t="s">
        <v>181</v>
      </c>
      <c r="G4" s="18" t="s">
        <v>181</v>
      </c>
      <c r="H4" s="18" t="s">
        <v>181</v>
      </c>
      <c r="I4" s="18" t="s">
        <v>176</v>
      </c>
      <c r="J4" s="18" t="s">
        <v>181</v>
      </c>
      <c r="K4" s="18" t="s">
        <v>181</v>
      </c>
      <c r="L4" s="18" t="s">
        <v>181</v>
      </c>
      <c r="M4" s="18" t="s">
        <v>181</v>
      </c>
      <c r="N4" s="18" t="s">
        <v>181</v>
      </c>
      <c r="O4" s="18" t="s">
        <v>181</v>
      </c>
      <c r="P4" s="18" t="s">
        <v>176</v>
      </c>
      <c r="Q4" s="18" t="s">
        <v>181</v>
      </c>
      <c r="R4" s="18" t="s">
        <v>181</v>
      </c>
      <c r="S4" s="18" t="s">
        <v>181</v>
      </c>
      <c r="T4" s="18" t="s">
        <v>181</v>
      </c>
      <c r="U4" s="18" t="s">
        <v>181</v>
      </c>
      <c r="V4" s="15" t="s">
        <v>180</v>
      </c>
      <c r="W4" s="18" t="s">
        <v>179</v>
      </c>
      <c r="X4" s="18" t="s">
        <v>181</v>
      </c>
      <c r="Y4" s="18" t="s">
        <v>181</v>
      </c>
      <c r="Z4" s="18" t="s">
        <v>181</v>
      </c>
      <c r="AL4" t="str">
        <f>IFERROR(_xlfn.XLOOKUP(E4, Branches!$B$2:$B$100, Branches!$C$2:$C$100, "خطأ في الكود"), "")</f>
        <v>Zayed Al Subaie</v>
      </c>
    </row>
    <row r="5" spans="1:38">
      <c r="A5" s="14" t="s">
        <v>24</v>
      </c>
      <c r="B5" s="14">
        <v>80107450</v>
      </c>
      <c r="C5" s="14">
        <v>80107450</v>
      </c>
      <c r="D5" s="18" t="s">
        <v>18</v>
      </c>
      <c r="E5" s="18" t="s">
        <v>25</v>
      </c>
      <c r="F5" s="14" t="s">
        <v>181</v>
      </c>
      <c r="G5" s="14" t="s">
        <v>181</v>
      </c>
      <c r="H5" s="14" t="s">
        <v>181</v>
      </c>
      <c r="I5" s="14" t="s">
        <v>181</v>
      </c>
      <c r="J5" s="14" t="s">
        <v>176</v>
      </c>
      <c r="K5" s="14" t="s">
        <v>181</v>
      </c>
      <c r="L5" s="19" t="s">
        <v>178</v>
      </c>
      <c r="M5" s="14" t="s">
        <v>181</v>
      </c>
      <c r="N5" s="14" t="s">
        <v>181</v>
      </c>
      <c r="O5" s="15" t="s">
        <v>180</v>
      </c>
      <c r="P5" s="14" t="s">
        <v>181</v>
      </c>
      <c r="Q5" s="14" t="s">
        <v>176</v>
      </c>
      <c r="R5" s="14" t="s">
        <v>181</v>
      </c>
      <c r="S5" s="14" t="s">
        <v>181</v>
      </c>
      <c r="T5" s="14" t="s">
        <v>181</v>
      </c>
      <c r="U5" s="14" t="s">
        <v>175</v>
      </c>
      <c r="V5" s="14" t="s">
        <v>181</v>
      </c>
      <c r="W5" s="14" t="s">
        <v>176</v>
      </c>
      <c r="X5" s="14" t="s">
        <v>181</v>
      </c>
      <c r="Y5" s="14" t="s">
        <v>175</v>
      </c>
      <c r="Z5" s="14" t="s">
        <v>175</v>
      </c>
      <c r="AL5" t="str">
        <f>IFERROR(_xlfn.XLOOKUP(E5, Branches!$B$2:$B$100, Branches!$C$2:$C$100, "خطأ في الكود"), "")</f>
        <v>Zayed Al Subaie</v>
      </c>
    </row>
    <row r="6" spans="1:38">
      <c r="A6" s="18" t="s">
        <v>26</v>
      </c>
      <c r="B6" s="18">
        <v>80122917</v>
      </c>
      <c r="C6" s="18">
        <v>80122917</v>
      </c>
      <c r="D6" s="18" t="s">
        <v>27</v>
      </c>
      <c r="E6" s="18" t="s">
        <v>28</v>
      </c>
      <c r="F6" s="18" t="s">
        <v>181</v>
      </c>
      <c r="G6" s="18" t="s">
        <v>181</v>
      </c>
      <c r="H6" s="18" t="s">
        <v>181</v>
      </c>
      <c r="I6" s="18" t="s">
        <v>176</v>
      </c>
      <c r="J6" s="19" t="s">
        <v>178</v>
      </c>
      <c r="K6" s="18" t="s">
        <v>181</v>
      </c>
      <c r="L6" s="18" t="s">
        <v>181</v>
      </c>
      <c r="M6" s="18" t="s">
        <v>181</v>
      </c>
      <c r="N6" s="18" t="s">
        <v>181</v>
      </c>
      <c r="O6" s="18" t="s">
        <v>181</v>
      </c>
      <c r="P6" s="18" t="s">
        <v>176</v>
      </c>
      <c r="Q6" s="19" t="s">
        <v>178</v>
      </c>
      <c r="R6" s="18" t="s">
        <v>181</v>
      </c>
      <c r="S6" s="18" t="s">
        <v>181</v>
      </c>
      <c r="T6" s="18" t="s">
        <v>181</v>
      </c>
      <c r="U6" s="18" t="s">
        <v>181</v>
      </c>
      <c r="V6" s="18" t="s">
        <v>181</v>
      </c>
      <c r="W6" s="18" t="s">
        <v>176</v>
      </c>
      <c r="X6" s="19" t="s">
        <v>178</v>
      </c>
      <c r="Y6" s="18" t="s">
        <v>181</v>
      </c>
      <c r="Z6" s="18" t="s">
        <v>181</v>
      </c>
      <c r="AL6" t="str">
        <f>IFERROR(_xlfn.XLOOKUP(E6, Branches!$B$2:$B$100, Branches!$C$2:$C$100, "خطأ في الكود"), "")</f>
        <v>Mohammed Gobran Abdali</v>
      </c>
    </row>
    <row r="7" spans="1:38">
      <c r="A7" s="14" t="s">
        <v>29</v>
      </c>
      <c r="B7" s="14">
        <v>80114895</v>
      </c>
      <c r="C7" s="14">
        <v>80114895</v>
      </c>
      <c r="D7" s="18" t="s">
        <v>30</v>
      </c>
      <c r="E7" s="18" t="s">
        <v>31</v>
      </c>
      <c r="F7" s="19" t="s">
        <v>177</v>
      </c>
      <c r="G7" s="19" t="s">
        <v>177</v>
      </c>
      <c r="H7" s="15" t="s">
        <v>180</v>
      </c>
      <c r="I7" s="14" t="s">
        <v>181</v>
      </c>
      <c r="J7" s="14" t="s">
        <v>179</v>
      </c>
      <c r="K7" s="19" t="s">
        <v>177</v>
      </c>
      <c r="L7" s="19" t="s">
        <v>177</v>
      </c>
      <c r="M7" s="19" t="s">
        <v>177</v>
      </c>
      <c r="N7" s="14" t="s">
        <v>192</v>
      </c>
      <c r="O7" s="15" t="s">
        <v>180</v>
      </c>
      <c r="P7" s="14" t="s">
        <v>181</v>
      </c>
      <c r="Q7" s="14" t="s">
        <v>179</v>
      </c>
      <c r="R7" s="19" t="s">
        <v>177</v>
      </c>
      <c r="S7" s="19" t="s">
        <v>177</v>
      </c>
      <c r="T7" s="19" t="s">
        <v>177</v>
      </c>
      <c r="U7" s="14" t="s">
        <v>175</v>
      </c>
      <c r="V7" s="15" t="s">
        <v>180</v>
      </c>
      <c r="W7" s="14" t="s">
        <v>181</v>
      </c>
      <c r="X7" s="14" t="s">
        <v>179</v>
      </c>
      <c r="Y7" s="19" t="s">
        <v>177</v>
      </c>
      <c r="Z7" s="19" t="s">
        <v>177</v>
      </c>
      <c r="AL7" t="str">
        <f>IFERROR(_xlfn.XLOOKUP(E7, Branches!$B$2:$B$100, Branches!$C$2:$C$100, "خطأ في الكود"), "")</f>
        <v>Bandar Garziz</v>
      </c>
    </row>
    <row r="8" spans="1:38">
      <c r="A8" s="18" t="s">
        <v>32</v>
      </c>
      <c r="B8" s="18">
        <v>80123006</v>
      </c>
      <c r="C8" s="18">
        <v>80123006</v>
      </c>
      <c r="D8" s="18" t="s">
        <v>27</v>
      </c>
      <c r="E8" s="18" t="s">
        <v>33</v>
      </c>
      <c r="F8" s="18" t="s">
        <v>181</v>
      </c>
      <c r="G8" s="18" t="s">
        <v>181</v>
      </c>
      <c r="H8" s="18" t="s">
        <v>176</v>
      </c>
      <c r="I8" s="18" t="s">
        <v>181</v>
      </c>
      <c r="J8" s="18" t="s">
        <v>175</v>
      </c>
      <c r="K8" s="18" t="s">
        <v>175</v>
      </c>
      <c r="L8" s="18" t="s">
        <v>175</v>
      </c>
      <c r="M8" s="18" t="s">
        <v>175</v>
      </c>
      <c r="N8" s="18" t="s">
        <v>175</v>
      </c>
      <c r="O8" s="18" t="s">
        <v>175</v>
      </c>
      <c r="P8" s="18" t="s">
        <v>176</v>
      </c>
      <c r="Q8" s="18" t="s">
        <v>181</v>
      </c>
      <c r="R8" s="18" t="s">
        <v>181</v>
      </c>
      <c r="S8" s="18" t="s">
        <v>181</v>
      </c>
      <c r="T8" s="18" t="s">
        <v>181</v>
      </c>
      <c r="U8" s="18" t="s">
        <v>181</v>
      </c>
      <c r="V8" s="18" t="s">
        <v>181</v>
      </c>
      <c r="W8" s="18" t="s">
        <v>181</v>
      </c>
      <c r="X8" s="18" t="s">
        <v>176</v>
      </c>
      <c r="Y8" s="18" t="s">
        <v>181</v>
      </c>
      <c r="Z8" s="18" t="s">
        <v>181</v>
      </c>
      <c r="AL8" t="str">
        <f>IFERROR(_xlfn.XLOOKUP(E8, Branches!$B$2:$B$100, Branches!$C$2:$C$100, "خطأ في الكود"), "")</f>
        <v>Mohammed Gobran Abdali</v>
      </c>
    </row>
    <row r="9" spans="1:38">
      <c r="A9" s="14" t="s">
        <v>34</v>
      </c>
      <c r="B9" s="14">
        <v>80126642</v>
      </c>
      <c r="C9" s="14">
        <v>80126642</v>
      </c>
      <c r="D9" s="18" t="s">
        <v>18</v>
      </c>
      <c r="E9" s="18" t="s">
        <v>35</v>
      </c>
      <c r="F9" s="14" t="s">
        <v>182</v>
      </c>
      <c r="G9" s="19" t="s">
        <v>178</v>
      </c>
      <c r="H9" s="14" t="s">
        <v>176</v>
      </c>
      <c r="I9" s="19" t="s">
        <v>178</v>
      </c>
      <c r="J9" s="14" t="s">
        <v>181</v>
      </c>
      <c r="K9" s="14" t="s">
        <v>181</v>
      </c>
      <c r="L9" s="14" t="s">
        <v>181</v>
      </c>
      <c r="M9" s="14" t="s">
        <v>181</v>
      </c>
      <c r="N9" s="14" t="s">
        <v>181</v>
      </c>
      <c r="O9" s="14" t="s">
        <v>176</v>
      </c>
      <c r="P9" s="19" t="s">
        <v>178</v>
      </c>
      <c r="Q9" s="19" t="s">
        <v>178</v>
      </c>
      <c r="R9" s="19" t="s">
        <v>178</v>
      </c>
      <c r="S9" s="19" t="s">
        <v>178</v>
      </c>
      <c r="T9" s="19" t="s">
        <v>178</v>
      </c>
      <c r="U9" s="14" t="s">
        <v>181</v>
      </c>
      <c r="V9" s="14" t="s">
        <v>176</v>
      </c>
      <c r="W9" s="14" t="s">
        <v>181</v>
      </c>
      <c r="X9" s="14" t="s">
        <v>181</v>
      </c>
      <c r="Y9" s="19" t="s">
        <v>178</v>
      </c>
      <c r="Z9" s="14" t="s">
        <v>181</v>
      </c>
      <c r="AL9" t="str">
        <f>IFERROR(_xlfn.XLOOKUP(E9, Branches!$B$2:$B$100, Branches!$C$2:$C$100, "خطأ في الكود"), "")</f>
        <v>Zayed Al Subaie</v>
      </c>
    </row>
    <row r="10" spans="1:38">
      <c r="A10" s="18" t="s">
        <v>36</v>
      </c>
      <c r="B10" s="18">
        <v>80127811</v>
      </c>
      <c r="C10" s="18">
        <v>80127811</v>
      </c>
      <c r="D10" s="18" t="s">
        <v>30</v>
      </c>
      <c r="E10" s="18" t="s">
        <v>37</v>
      </c>
      <c r="F10" s="18" t="s">
        <v>181</v>
      </c>
      <c r="G10" s="18" t="s">
        <v>181</v>
      </c>
      <c r="H10" s="18" t="s">
        <v>181</v>
      </c>
      <c r="I10" s="18" t="s">
        <v>176</v>
      </c>
      <c r="J10" s="18" t="s">
        <v>181</v>
      </c>
      <c r="K10" s="18" t="s">
        <v>181</v>
      </c>
      <c r="L10" s="18" t="s">
        <v>181</v>
      </c>
      <c r="M10" s="18" t="s">
        <v>181</v>
      </c>
      <c r="N10" s="18" t="s">
        <v>181</v>
      </c>
      <c r="O10" s="15" t="s">
        <v>180</v>
      </c>
      <c r="P10" s="18" t="s">
        <v>176</v>
      </c>
      <c r="Q10" s="18" t="s">
        <v>181</v>
      </c>
      <c r="R10" s="18" t="s">
        <v>181</v>
      </c>
      <c r="S10" s="18" t="s">
        <v>181</v>
      </c>
      <c r="T10" s="18" t="s">
        <v>181</v>
      </c>
      <c r="U10" s="18" t="s">
        <v>175</v>
      </c>
      <c r="V10" s="18" t="s">
        <v>175</v>
      </c>
      <c r="W10" s="18" t="s">
        <v>176</v>
      </c>
      <c r="X10" s="15" t="s">
        <v>189</v>
      </c>
      <c r="Y10" s="18" t="s">
        <v>175</v>
      </c>
      <c r="Z10" s="18" t="s">
        <v>175</v>
      </c>
      <c r="AL10" t="str">
        <f>IFERROR(_xlfn.XLOOKUP(E10, Branches!$B$2:$B$100, Branches!$C$2:$C$100, "خطأ في الكود"), "")</f>
        <v>Abdul Rahman Mohsen Al Enzi</v>
      </c>
    </row>
    <row r="11" spans="1:38">
      <c r="A11" s="14" t="s">
        <v>38</v>
      </c>
      <c r="B11" s="14">
        <v>80072370</v>
      </c>
      <c r="C11" s="14">
        <v>80072370</v>
      </c>
      <c r="D11" s="18" t="s">
        <v>18</v>
      </c>
      <c r="E11" s="18" t="s">
        <v>39</v>
      </c>
      <c r="F11" s="14" t="s">
        <v>175</v>
      </c>
      <c r="G11" s="14" t="s">
        <v>175</v>
      </c>
      <c r="H11" s="14" t="s">
        <v>175</v>
      </c>
      <c r="I11" s="14" t="s">
        <v>176</v>
      </c>
      <c r="J11" s="14" t="s">
        <v>181</v>
      </c>
      <c r="K11" s="14" t="s">
        <v>175</v>
      </c>
      <c r="L11" s="14" t="s">
        <v>175</v>
      </c>
      <c r="M11" s="14" t="s">
        <v>175</v>
      </c>
      <c r="N11" s="14" t="s">
        <v>175</v>
      </c>
      <c r="O11" s="14" t="s">
        <v>175</v>
      </c>
      <c r="P11" s="14" t="s">
        <v>176</v>
      </c>
      <c r="Q11" s="14" t="s">
        <v>181</v>
      </c>
      <c r="R11" s="14" t="s">
        <v>181</v>
      </c>
      <c r="S11" s="14" t="s">
        <v>181</v>
      </c>
      <c r="T11" s="14" t="s">
        <v>181</v>
      </c>
      <c r="U11" s="14" t="s">
        <v>181</v>
      </c>
      <c r="V11" s="14" t="s">
        <v>176</v>
      </c>
      <c r="W11" s="14" t="s">
        <v>181</v>
      </c>
      <c r="X11" s="14" t="s">
        <v>181</v>
      </c>
      <c r="Y11" s="14" t="s">
        <v>181</v>
      </c>
      <c r="Z11" s="14" t="s">
        <v>181</v>
      </c>
      <c r="AL11" t="str">
        <f>IFERROR(_xlfn.XLOOKUP(E11, Branches!$B$2:$B$100, Branches!$C$2:$C$100, "خطأ في الكود"), "")</f>
        <v>Othman Al Sagri</v>
      </c>
    </row>
    <row r="12" spans="1:38">
      <c r="A12" s="18" t="s">
        <v>40</v>
      </c>
      <c r="B12" s="18">
        <v>80098147</v>
      </c>
      <c r="C12" s="18">
        <v>80098147</v>
      </c>
      <c r="D12" s="18" t="s">
        <v>41</v>
      </c>
      <c r="E12" s="18" t="s">
        <v>42</v>
      </c>
      <c r="F12" s="18" t="s">
        <v>181</v>
      </c>
      <c r="G12" s="18" t="s">
        <v>181</v>
      </c>
      <c r="H12" s="18" t="s">
        <v>181</v>
      </c>
      <c r="I12" s="18" t="s">
        <v>181</v>
      </c>
      <c r="J12" s="18" t="s">
        <v>181</v>
      </c>
      <c r="K12" s="18" t="s">
        <v>181</v>
      </c>
      <c r="L12" s="18" t="s">
        <v>175</v>
      </c>
      <c r="M12" s="18" t="s">
        <v>175</v>
      </c>
      <c r="N12" s="18" t="s">
        <v>175</v>
      </c>
      <c r="O12" s="18" t="s">
        <v>176</v>
      </c>
      <c r="P12" s="18" t="s">
        <v>176</v>
      </c>
      <c r="Q12" s="18" t="s">
        <v>181</v>
      </c>
      <c r="R12" s="18" t="s">
        <v>181</v>
      </c>
      <c r="S12" s="18" t="s">
        <v>181</v>
      </c>
      <c r="T12" s="18" t="s">
        <v>181</v>
      </c>
      <c r="U12" s="18" t="s">
        <v>181</v>
      </c>
      <c r="V12" s="18" t="s">
        <v>181</v>
      </c>
      <c r="W12" s="18" t="s">
        <v>181</v>
      </c>
      <c r="X12" s="18" t="s">
        <v>176</v>
      </c>
      <c r="Y12" s="18" t="s">
        <v>175</v>
      </c>
      <c r="Z12" s="19" t="s">
        <v>177</v>
      </c>
      <c r="AL12" t="str">
        <f>IFERROR(_xlfn.XLOOKUP(E12, Branches!$B$2:$B$100, Branches!$C$2:$C$100, "خطأ في الكود"), "")</f>
        <v>Mohammed Al - Gahtani</v>
      </c>
    </row>
    <row r="13" spans="1:38">
      <c r="A13" s="14" t="s">
        <v>43</v>
      </c>
      <c r="B13" s="14">
        <v>80075967</v>
      </c>
      <c r="C13" s="14">
        <v>80075967</v>
      </c>
      <c r="D13" s="18" t="s">
        <v>18</v>
      </c>
      <c r="E13" s="18" t="s">
        <v>44</v>
      </c>
      <c r="F13" s="19" t="s">
        <v>178</v>
      </c>
      <c r="G13" s="19" t="s">
        <v>178</v>
      </c>
      <c r="H13" s="14" t="s">
        <v>181</v>
      </c>
      <c r="I13" s="14" t="s">
        <v>176</v>
      </c>
      <c r="J13" s="14" t="s">
        <v>181</v>
      </c>
      <c r="K13" s="14" t="s">
        <v>181</v>
      </c>
      <c r="L13" s="14" t="s">
        <v>181</v>
      </c>
      <c r="M13" s="14" t="s">
        <v>181</v>
      </c>
      <c r="N13" s="14" t="s">
        <v>181</v>
      </c>
      <c r="O13" s="14" t="s">
        <v>181</v>
      </c>
      <c r="P13" s="14" t="s">
        <v>176</v>
      </c>
      <c r="Q13" s="14" t="s">
        <v>181</v>
      </c>
      <c r="R13" s="14" t="s">
        <v>181</v>
      </c>
      <c r="S13" s="14" t="s">
        <v>181</v>
      </c>
      <c r="T13" s="14" t="s">
        <v>181</v>
      </c>
      <c r="U13" s="14" t="s">
        <v>181</v>
      </c>
      <c r="V13" s="14" t="s">
        <v>181</v>
      </c>
      <c r="W13" s="14" t="s">
        <v>181</v>
      </c>
      <c r="X13" s="14" t="s">
        <v>176</v>
      </c>
      <c r="Y13" s="19" t="s">
        <v>178</v>
      </c>
      <c r="Z13" s="14" t="s">
        <v>181</v>
      </c>
      <c r="AL13" t="str">
        <f>IFERROR(_xlfn.XLOOKUP(E13, Branches!$B$2:$B$100, Branches!$C$2:$C$100, "خطأ في الكود"), "")</f>
        <v>Zayed Al Subaie</v>
      </c>
    </row>
    <row r="14" spans="1:38">
      <c r="A14" s="18" t="s">
        <v>183</v>
      </c>
      <c r="B14" s="18">
        <v>80122890</v>
      </c>
      <c r="C14" s="18">
        <v>80122890</v>
      </c>
      <c r="D14" s="18" t="s">
        <v>18</v>
      </c>
      <c r="E14" s="18" t="s">
        <v>35</v>
      </c>
      <c r="F14" s="19" t="s">
        <v>178</v>
      </c>
      <c r="G14" s="18" t="s">
        <v>181</v>
      </c>
      <c r="H14" s="18" t="s">
        <v>181</v>
      </c>
      <c r="I14" s="18" t="s">
        <v>176</v>
      </c>
      <c r="J14" s="18" t="s">
        <v>181</v>
      </c>
      <c r="K14" s="18" t="s">
        <v>184</v>
      </c>
      <c r="L14" s="18" t="s">
        <v>184</v>
      </c>
      <c r="M14" s="18" t="s">
        <v>184</v>
      </c>
      <c r="N14" s="18" t="s">
        <v>184</v>
      </c>
      <c r="O14" s="18" t="s">
        <v>184</v>
      </c>
      <c r="P14" s="18" t="s">
        <v>184</v>
      </c>
      <c r="Q14" s="18" t="s">
        <v>184</v>
      </c>
      <c r="R14" s="18" t="s">
        <v>184</v>
      </c>
      <c r="S14" s="18" t="s">
        <v>184</v>
      </c>
      <c r="T14" s="18" t="s">
        <v>184</v>
      </c>
      <c r="U14" s="18" t="s">
        <v>184</v>
      </c>
      <c r="V14" s="18" t="s">
        <v>184</v>
      </c>
      <c r="W14" s="18" t="s">
        <v>176</v>
      </c>
      <c r="X14" s="18" t="s">
        <v>181</v>
      </c>
      <c r="Y14" s="18" t="s">
        <v>181</v>
      </c>
      <c r="Z14" s="19" t="s">
        <v>178</v>
      </c>
      <c r="AL14" t="str">
        <f>IFERROR(_xlfn.XLOOKUP(E14, Branches!$B$2:$B$100, Branches!$C$2:$C$100, "خطأ في الكود"), "")</f>
        <v>Zayed Al Subaie</v>
      </c>
    </row>
    <row r="15" spans="1:38">
      <c r="A15" s="14" t="s">
        <v>185</v>
      </c>
      <c r="B15" s="14">
        <v>80129423</v>
      </c>
      <c r="C15" s="14">
        <v>80129423</v>
      </c>
      <c r="D15" s="18" t="s">
        <v>30</v>
      </c>
      <c r="E15" s="18" t="s">
        <v>31</v>
      </c>
      <c r="F15" s="19" t="s">
        <v>177</v>
      </c>
      <c r="G15" s="19" t="s">
        <v>177</v>
      </c>
      <c r="H15" s="19" t="s">
        <v>177</v>
      </c>
      <c r="I15" s="14" t="s">
        <v>176</v>
      </c>
      <c r="J15" s="19" t="s">
        <v>177</v>
      </c>
      <c r="K15" s="19" t="s">
        <v>177</v>
      </c>
      <c r="L15" s="19" t="s">
        <v>177</v>
      </c>
      <c r="M15" s="19" t="s">
        <v>177</v>
      </c>
      <c r="N15" s="19" t="s">
        <v>177</v>
      </c>
      <c r="O15" s="15" t="s">
        <v>189</v>
      </c>
      <c r="P15" s="14" t="s">
        <v>176</v>
      </c>
      <c r="Q15" s="19" t="s">
        <v>177</v>
      </c>
      <c r="R15" s="19" t="s">
        <v>177</v>
      </c>
      <c r="S15" s="19" t="s">
        <v>177</v>
      </c>
      <c r="T15" s="19" t="s">
        <v>177</v>
      </c>
      <c r="U15" s="19" t="s">
        <v>177</v>
      </c>
      <c r="V15" s="19" t="s">
        <v>177</v>
      </c>
      <c r="W15" s="14" t="s">
        <v>176</v>
      </c>
      <c r="X15" s="19" t="s">
        <v>177</v>
      </c>
      <c r="Y15" s="19" t="s">
        <v>177</v>
      </c>
      <c r="Z15" s="19" t="s">
        <v>177</v>
      </c>
      <c r="AL15" t="str">
        <f>IFERROR(_xlfn.XLOOKUP(E15, Branches!$B$2:$B$100, Branches!$C$2:$C$100, "خطأ في الكود"), "")</f>
        <v>Bandar Garziz</v>
      </c>
    </row>
    <row r="16" spans="1:38">
      <c r="A16" s="18" t="s">
        <v>186</v>
      </c>
      <c r="B16" s="18">
        <v>80127720</v>
      </c>
      <c r="C16" s="18">
        <v>80127720</v>
      </c>
      <c r="D16" s="18" t="s">
        <v>18</v>
      </c>
      <c r="E16" s="18" t="s">
        <v>23</v>
      </c>
      <c r="F16" s="18" t="s">
        <v>181</v>
      </c>
      <c r="G16" s="18" t="s">
        <v>181</v>
      </c>
      <c r="H16" s="18" t="s">
        <v>176</v>
      </c>
      <c r="I16" s="18" t="s">
        <v>181</v>
      </c>
      <c r="J16" s="18" t="s">
        <v>181</v>
      </c>
      <c r="K16" s="19" t="s">
        <v>178</v>
      </c>
      <c r="L16" s="19" t="s">
        <v>178</v>
      </c>
      <c r="M16" s="19" t="s">
        <v>178</v>
      </c>
      <c r="N16" s="19" t="s">
        <v>178</v>
      </c>
      <c r="O16" s="18" t="s">
        <v>176</v>
      </c>
      <c r="P16" s="19" t="s">
        <v>178</v>
      </c>
      <c r="Q16" s="19" t="s">
        <v>178</v>
      </c>
      <c r="R16" s="15" t="s">
        <v>180</v>
      </c>
      <c r="S16" s="18" t="s">
        <v>181</v>
      </c>
      <c r="T16" s="18" t="s">
        <v>181</v>
      </c>
      <c r="U16" s="18" t="s">
        <v>181</v>
      </c>
      <c r="V16" s="18" t="s">
        <v>179</v>
      </c>
      <c r="W16" s="15" t="s">
        <v>180</v>
      </c>
      <c r="X16" s="18" t="s">
        <v>181</v>
      </c>
      <c r="Y16" s="18" t="s">
        <v>181</v>
      </c>
      <c r="Z16" s="18" t="s">
        <v>181</v>
      </c>
      <c r="AL16" t="str">
        <f>IFERROR(_xlfn.XLOOKUP(E16, Branches!$B$2:$B$100, Branches!$C$2:$C$100, "خطأ في الكود"), "")</f>
        <v>Zayed Al Subaie</v>
      </c>
    </row>
    <row r="17" spans="1:38">
      <c r="A17" s="14" t="s">
        <v>45</v>
      </c>
      <c r="B17" s="14">
        <v>80089519</v>
      </c>
      <c r="C17" s="14">
        <v>80089519</v>
      </c>
      <c r="D17" s="18" t="s">
        <v>46</v>
      </c>
      <c r="E17" s="18" t="s">
        <v>47</v>
      </c>
      <c r="F17" s="14" t="s">
        <v>181</v>
      </c>
      <c r="G17" s="14" t="s">
        <v>181</v>
      </c>
      <c r="H17" s="14" t="s">
        <v>181</v>
      </c>
      <c r="I17" s="14" t="s">
        <v>181</v>
      </c>
      <c r="J17" s="14" t="s">
        <v>176</v>
      </c>
      <c r="K17" s="14" t="s">
        <v>175</v>
      </c>
      <c r="L17" s="14" t="s">
        <v>175</v>
      </c>
      <c r="M17" s="14" t="s">
        <v>175</v>
      </c>
      <c r="N17" s="19" t="s">
        <v>177</v>
      </c>
      <c r="O17" s="14" t="s">
        <v>175</v>
      </c>
      <c r="P17" s="14" t="s">
        <v>176</v>
      </c>
      <c r="Q17" s="14" t="s">
        <v>181</v>
      </c>
      <c r="R17" s="14" t="s">
        <v>175</v>
      </c>
      <c r="S17" s="14" t="s">
        <v>175</v>
      </c>
      <c r="T17" s="14" t="s">
        <v>184</v>
      </c>
      <c r="U17" s="14" t="s">
        <v>175</v>
      </c>
      <c r="V17" s="14" t="s">
        <v>175</v>
      </c>
      <c r="W17" s="14" t="s">
        <v>176</v>
      </c>
      <c r="X17" s="14" t="s">
        <v>181</v>
      </c>
      <c r="Y17" s="14" t="s">
        <v>175</v>
      </c>
      <c r="Z17" s="14" t="s">
        <v>175</v>
      </c>
      <c r="AL17" t="str">
        <f>IFERROR(_xlfn.XLOOKUP(E17, Branches!$B$2:$B$100, Branches!$C$2:$C$100, "خطأ في الكود"), "")</f>
        <v>Musab Hakami</v>
      </c>
    </row>
    <row r="18" spans="1:38">
      <c r="A18" s="18" t="s">
        <v>48</v>
      </c>
      <c r="B18" s="18">
        <v>80065984</v>
      </c>
      <c r="C18" s="18">
        <v>80065984</v>
      </c>
      <c r="D18" s="18" t="s">
        <v>46</v>
      </c>
      <c r="E18" s="18" t="s">
        <v>49</v>
      </c>
      <c r="F18" s="18" t="s">
        <v>187</v>
      </c>
      <c r="G18" s="18" t="s">
        <v>175</v>
      </c>
      <c r="H18" s="18" t="s">
        <v>175</v>
      </c>
      <c r="I18" s="18" t="s">
        <v>176</v>
      </c>
      <c r="J18" s="18" t="s">
        <v>184</v>
      </c>
      <c r="K18" s="18" t="s">
        <v>184</v>
      </c>
      <c r="L18" s="18" t="s">
        <v>175</v>
      </c>
      <c r="M18" s="18" t="s">
        <v>175</v>
      </c>
      <c r="N18" s="18" t="s">
        <v>175</v>
      </c>
      <c r="O18" s="18" t="s">
        <v>175</v>
      </c>
      <c r="P18" s="18" t="s">
        <v>176</v>
      </c>
      <c r="Q18" s="18" t="s">
        <v>184</v>
      </c>
      <c r="R18" s="18" t="s">
        <v>175</v>
      </c>
      <c r="S18" s="18" t="s">
        <v>175</v>
      </c>
      <c r="T18" s="18" t="s">
        <v>175</v>
      </c>
      <c r="U18" s="18" t="s">
        <v>277</v>
      </c>
      <c r="V18" s="18" t="s">
        <v>181</v>
      </c>
      <c r="W18" s="18" t="s">
        <v>176</v>
      </c>
      <c r="X18" s="18" t="s">
        <v>181</v>
      </c>
      <c r="Y18" s="18" t="s">
        <v>181</v>
      </c>
      <c r="Z18" s="18" t="s">
        <v>181</v>
      </c>
      <c r="AL18" t="str">
        <f>IFERROR(_xlfn.XLOOKUP(E18, Branches!$B$2:$B$100, Branches!$C$2:$C$100, "خطأ في الكود"), "")</f>
        <v>Musab Hakami</v>
      </c>
    </row>
    <row r="19" spans="1:38">
      <c r="A19" s="14" t="s">
        <v>50</v>
      </c>
      <c r="B19" s="14">
        <v>80122126</v>
      </c>
      <c r="C19" s="14">
        <v>80122126</v>
      </c>
      <c r="D19" s="18" t="s">
        <v>18</v>
      </c>
      <c r="E19" s="18" t="s">
        <v>51</v>
      </c>
      <c r="F19" s="14" t="s">
        <v>181</v>
      </c>
      <c r="G19" s="14" t="s">
        <v>181</v>
      </c>
      <c r="H19" s="14" t="s">
        <v>181</v>
      </c>
      <c r="I19" s="14" t="s">
        <v>176</v>
      </c>
      <c r="J19" s="14" t="s">
        <v>175</v>
      </c>
      <c r="K19" s="14" t="s">
        <v>175</v>
      </c>
      <c r="L19" s="14" t="s">
        <v>175</v>
      </c>
      <c r="M19" s="14" t="s">
        <v>175</v>
      </c>
      <c r="N19" s="14" t="s">
        <v>175</v>
      </c>
      <c r="O19" s="14" t="s">
        <v>175</v>
      </c>
      <c r="P19" s="14" t="s">
        <v>184</v>
      </c>
      <c r="Q19" s="14" t="s">
        <v>184</v>
      </c>
      <c r="R19" s="14" t="s">
        <v>184</v>
      </c>
      <c r="S19" s="14" t="s">
        <v>184</v>
      </c>
      <c r="T19" s="14" t="s">
        <v>184</v>
      </c>
      <c r="U19" s="14" t="s">
        <v>184</v>
      </c>
      <c r="V19" s="14" t="s">
        <v>184</v>
      </c>
      <c r="W19" s="14" t="s">
        <v>184</v>
      </c>
      <c r="X19" s="14" t="s">
        <v>184</v>
      </c>
      <c r="Y19" s="14" t="s">
        <v>184</v>
      </c>
      <c r="Z19" s="14" t="s">
        <v>184</v>
      </c>
      <c r="AL19" t="str">
        <f>IFERROR(_xlfn.XLOOKUP(E19, Branches!$B$2:$B$100, Branches!$C$2:$C$100, "خطأ في الكود"), "")</f>
        <v>Othman Al Sagri</v>
      </c>
    </row>
    <row r="20" spans="1:38">
      <c r="A20" s="18" t="s">
        <v>52</v>
      </c>
      <c r="B20" s="18">
        <v>80126587</v>
      </c>
      <c r="C20" s="18">
        <v>80126587</v>
      </c>
      <c r="D20" s="18" t="s">
        <v>41</v>
      </c>
      <c r="E20" s="18" t="s">
        <v>53</v>
      </c>
      <c r="F20" s="18" t="s">
        <v>175</v>
      </c>
      <c r="G20" s="18" t="s">
        <v>175</v>
      </c>
      <c r="H20" s="18" t="s">
        <v>175</v>
      </c>
      <c r="I20" s="18" t="s">
        <v>181</v>
      </c>
      <c r="J20" s="18" t="s">
        <v>176</v>
      </c>
      <c r="K20" s="18" t="s">
        <v>175</v>
      </c>
      <c r="L20" s="18" t="s">
        <v>175</v>
      </c>
      <c r="M20" s="18" t="s">
        <v>181</v>
      </c>
      <c r="N20" s="18" t="s">
        <v>181</v>
      </c>
      <c r="O20" s="15" t="s">
        <v>180</v>
      </c>
      <c r="P20" s="18" t="s">
        <v>181</v>
      </c>
      <c r="Q20" s="18" t="s">
        <v>176</v>
      </c>
      <c r="R20" s="18" t="s">
        <v>181</v>
      </c>
      <c r="S20" s="18" t="s">
        <v>181</v>
      </c>
      <c r="T20" s="18" t="s">
        <v>181</v>
      </c>
      <c r="U20" s="18" t="s">
        <v>181</v>
      </c>
      <c r="V20" s="18" t="s">
        <v>181</v>
      </c>
      <c r="W20" s="18" t="s">
        <v>181</v>
      </c>
      <c r="X20" s="18" t="s">
        <v>176</v>
      </c>
      <c r="Y20" s="19" t="s">
        <v>177</v>
      </c>
      <c r="Z20" s="19" t="s">
        <v>177</v>
      </c>
      <c r="AL20" t="str">
        <f>IFERROR(_xlfn.XLOOKUP(E20, Branches!$B$2:$B$100, Branches!$C$2:$C$100, "خطأ في الكود"), "")</f>
        <v>Mohammed Al - Gahtani</v>
      </c>
    </row>
    <row r="21" spans="1:38">
      <c r="A21" s="14" t="s">
        <v>54</v>
      </c>
      <c r="B21" s="14">
        <v>80128587</v>
      </c>
      <c r="C21" s="14">
        <v>80128587</v>
      </c>
      <c r="D21" s="18" t="s">
        <v>46</v>
      </c>
      <c r="E21" s="18" t="s">
        <v>55</v>
      </c>
      <c r="F21" s="14" t="s">
        <v>181</v>
      </c>
      <c r="G21" s="14" t="s">
        <v>181</v>
      </c>
      <c r="H21" s="14" t="s">
        <v>181</v>
      </c>
      <c r="I21" s="14" t="s">
        <v>176</v>
      </c>
      <c r="J21" s="14" t="s">
        <v>175</v>
      </c>
      <c r="K21" s="19" t="s">
        <v>178</v>
      </c>
      <c r="L21" s="14" t="s">
        <v>181</v>
      </c>
      <c r="M21" s="14" t="s">
        <v>181</v>
      </c>
      <c r="N21" s="15" t="s">
        <v>180</v>
      </c>
      <c r="O21" s="14" t="s">
        <v>181</v>
      </c>
      <c r="P21" s="14" t="s">
        <v>179</v>
      </c>
      <c r="Q21" s="14" t="s">
        <v>175</v>
      </c>
      <c r="R21" s="14" t="s">
        <v>181</v>
      </c>
      <c r="S21" s="14" t="s">
        <v>181</v>
      </c>
      <c r="T21" s="19" t="s">
        <v>178</v>
      </c>
      <c r="U21" s="14" t="s">
        <v>181</v>
      </c>
      <c r="V21" s="14" t="s">
        <v>181</v>
      </c>
      <c r="W21" s="14" t="s">
        <v>176</v>
      </c>
      <c r="X21" s="14" t="s">
        <v>175</v>
      </c>
      <c r="Y21" s="14" t="s">
        <v>181</v>
      </c>
      <c r="Z21" s="14" t="s">
        <v>181</v>
      </c>
      <c r="AL21" t="str">
        <f>IFERROR(_xlfn.XLOOKUP(E21, Branches!$B$2:$B$100, Branches!$C$2:$C$100, "خطأ في الكود"), "")</f>
        <v>Musab Hakami</v>
      </c>
    </row>
    <row r="22" spans="1:38">
      <c r="A22" s="18" t="s">
        <v>56</v>
      </c>
      <c r="B22" s="18">
        <v>80116435</v>
      </c>
      <c r="C22" s="18">
        <v>80116435</v>
      </c>
      <c r="D22" s="18" t="s">
        <v>30</v>
      </c>
      <c r="E22" s="18" t="s">
        <v>57</v>
      </c>
      <c r="F22" s="19" t="s">
        <v>178</v>
      </c>
      <c r="G22" s="19" t="s">
        <v>178</v>
      </c>
      <c r="H22" s="19" t="s">
        <v>178</v>
      </c>
      <c r="I22" s="18" t="s">
        <v>176</v>
      </c>
      <c r="J22" s="19" t="s">
        <v>178</v>
      </c>
      <c r="K22" s="19" t="s">
        <v>178</v>
      </c>
      <c r="L22" s="19" t="s">
        <v>178</v>
      </c>
      <c r="M22" s="19" t="s">
        <v>178</v>
      </c>
      <c r="N22" s="19" t="s">
        <v>178</v>
      </c>
      <c r="O22" s="15" t="s">
        <v>180</v>
      </c>
      <c r="P22" s="18" t="s">
        <v>179</v>
      </c>
      <c r="Q22" s="18" t="s">
        <v>181</v>
      </c>
      <c r="R22" s="19" t="s">
        <v>178</v>
      </c>
      <c r="S22" s="18" t="s">
        <v>181</v>
      </c>
      <c r="T22" s="19" t="s">
        <v>178</v>
      </c>
      <c r="U22" s="19" t="s">
        <v>178</v>
      </c>
      <c r="V22" s="19" t="s">
        <v>178</v>
      </c>
      <c r="W22" s="18" t="s">
        <v>176</v>
      </c>
      <c r="X22" s="19" t="s">
        <v>178</v>
      </c>
      <c r="Y22" s="19" t="s">
        <v>178</v>
      </c>
      <c r="Z22" s="19" t="s">
        <v>178</v>
      </c>
      <c r="AL22" t="str">
        <f>IFERROR(_xlfn.XLOOKUP(E22, Branches!$B$2:$B$100, Branches!$C$2:$C$100, "خطأ في الكود"), "")</f>
        <v>Abdul Rahman Mohsen Al Enzi</v>
      </c>
    </row>
    <row r="23" spans="1:38">
      <c r="A23" s="14" t="s">
        <v>58</v>
      </c>
      <c r="B23" s="14">
        <v>80123346</v>
      </c>
      <c r="C23" s="14">
        <v>80123346</v>
      </c>
      <c r="D23" s="18" t="s">
        <v>41</v>
      </c>
      <c r="E23" s="18" t="s">
        <v>59</v>
      </c>
      <c r="F23" s="14" t="s">
        <v>181</v>
      </c>
      <c r="G23" s="14" t="s">
        <v>181</v>
      </c>
      <c r="H23" s="14" t="s">
        <v>181</v>
      </c>
      <c r="I23" s="14" t="s">
        <v>181</v>
      </c>
      <c r="J23" s="14" t="s">
        <v>175</v>
      </c>
      <c r="K23" s="14" t="s">
        <v>176</v>
      </c>
      <c r="L23" s="14" t="s">
        <v>181</v>
      </c>
      <c r="M23" s="14" t="s">
        <v>181</v>
      </c>
      <c r="N23" s="14" t="s">
        <v>181</v>
      </c>
      <c r="O23" s="15" t="s">
        <v>180</v>
      </c>
      <c r="P23" s="14" t="s">
        <v>181</v>
      </c>
      <c r="Q23" s="19" t="s">
        <v>177</v>
      </c>
      <c r="R23" s="14" t="s">
        <v>176</v>
      </c>
      <c r="S23" s="14" t="s">
        <v>181</v>
      </c>
      <c r="T23" s="14" t="s">
        <v>181</v>
      </c>
      <c r="U23" s="14" t="s">
        <v>181</v>
      </c>
      <c r="V23" s="14" t="s">
        <v>181</v>
      </c>
      <c r="W23" s="14" t="s">
        <v>181</v>
      </c>
      <c r="X23" s="14" t="s">
        <v>175</v>
      </c>
      <c r="Y23" s="14" t="s">
        <v>176</v>
      </c>
      <c r="Z23" s="14" t="s">
        <v>181</v>
      </c>
      <c r="AL23" t="str">
        <f>IFERROR(_xlfn.XLOOKUP(E23, Branches!$B$2:$B$100, Branches!$C$2:$C$100, "خطأ في الكود"), "")</f>
        <v>Mohammed Al - Gahtani</v>
      </c>
    </row>
    <row r="24" spans="1:38">
      <c r="A24" s="18" t="s">
        <v>188</v>
      </c>
      <c r="B24" s="18">
        <v>80093079</v>
      </c>
      <c r="C24" s="18">
        <v>80093079</v>
      </c>
      <c r="D24" s="18" t="s">
        <v>18</v>
      </c>
      <c r="E24" s="18" t="s">
        <v>21</v>
      </c>
      <c r="F24" s="19" t="s">
        <v>177</v>
      </c>
      <c r="G24" s="18" t="s">
        <v>175</v>
      </c>
      <c r="H24" s="18" t="s">
        <v>175</v>
      </c>
      <c r="I24" s="18" t="s">
        <v>176</v>
      </c>
      <c r="J24" s="18" t="s">
        <v>175</v>
      </c>
      <c r="K24" s="18" t="s">
        <v>175</v>
      </c>
      <c r="L24" s="18" t="s">
        <v>175</v>
      </c>
      <c r="M24" s="18" t="s">
        <v>175</v>
      </c>
      <c r="N24" s="19" t="s">
        <v>177</v>
      </c>
      <c r="O24" s="18" t="s">
        <v>175</v>
      </c>
      <c r="P24" s="18" t="s">
        <v>176</v>
      </c>
      <c r="Q24" s="18" t="s">
        <v>175</v>
      </c>
      <c r="R24" s="18" t="s">
        <v>175</v>
      </c>
      <c r="S24" s="18" t="s">
        <v>175</v>
      </c>
      <c r="T24" s="18" t="s">
        <v>175</v>
      </c>
      <c r="U24" s="18" t="s">
        <v>175</v>
      </c>
      <c r="V24" s="18" t="s">
        <v>175</v>
      </c>
      <c r="W24" s="18" t="s">
        <v>176</v>
      </c>
      <c r="X24" s="18" t="s">
        <v>175</v>
      </c>
      <c r="Y24" s="18" t="s">
        <v>175</v>
      </c>
      <c r="Z24" s="19" t="s">
        <v>177</v>
      </c>
      <c r="AL24" t="str">
        <f>IFERROR(_xlfn.XLOOKUP(E24, Branches!$B$2:$B$100, Branches!$C$2:$C$100, "خطأ في الكود"), "")</f>
        <v>Zayed Al Subaie</v>
      </c>
    </row>
    <row r="25" spans="1:38">
      <c r="A25" s="14" t="s">
        <v>60</v>
      </c>
      <c r="B25" s="14">
        <v>80002044</v>
      </c>
      <c r="C25" s="14">
        <v>80002044</v>
      </c>
      <c r="D25" s="18" t="s">
        <v>30</v>
      </c>
      <c r="E25" s="18" t="s">
        <v>61</v>
      </c>
      <c r="F25" s="14" t="s">
        <v>175</v>
      </c>
      <c r="G25" s="14" t="s">
        <v>175</v>
      </c>
      <c r="H25" s="14" t="s">
        <v>175</v>
      </c>
      <c r="I25" s="14" t="s">
        <v>176</v>
      </c>
      <c r="J25" s="14" t="s">
        <v>175</v>
      </c>
      <c r="K25" s="14" t="s">
        <v>175</v>
      </c>
      <c r="L25" s="14" t="s">
        <v>175</v>
      </c>
      <c r="M25" s="14" t="s">
        <v>175</v>
      </c>
      <c r="N25" s="14" t="s">
        <v>175</v>
      </c>
      <c r="O25" s="14" t="s">
        <v>175</v>
      </c>
      <c r="P25" s="14" t="s">
        <v>176</v>
      </c>
      <c r="Q25" s="14" t="s">
        <v>175</v>
      </c>
      <c r="R25" s="14" t="s">
        <v>175</v>
      </c>
      <c r="S25" s="14" t="s">
        <v>175</v>
      </c>
      <c r="T25" s="14" t="s">
        <v>175</v>
      </c>
      <c r="U25" s="14" t="s">
        <v>175</v>
      </c>
      <c r="V25" s="14" t="s">
        <v>175</v>
      </c>
      <c r="W25" s="14" t="s">
        <v>176</v>
      </c>
      <c r="X25" s="14" t="s">
        <v>175</v>
      </c>
      <c r="Y25" s="14" t="s">
        <v>175</v>
      </c>
      <c r="Z25" s="14" t="s">
        <v>175</v>
      </c>
      <c r="AL25" t="str">
        <f>IFERROR(_xlfn.XLOOKUP(E25, Branches!$B$2:$B$100, Branches!$C$2:$C$100, "خطأ في الكود"), "")</f>
        <v>Abdul Rahman Mohsen Al Enzi</v>
      </c>
    </row>
    <row r="26" spans="1:38">
      <c r="A26" s="18" t="s">
        <v>62</v>
      </c>
      <c r="B26" s="18">
        <v>80120424</v>
      </c>
      <c r="C26" s="18">
        <v>80120424</v>
      </c>
      <c r="D26" s="18" t="s">
        <v>46</v>
      </c>
      <c r="E26" s="18" t="s">
        <v>63</v>
      </c>
      <c r="F26" s="18" t="s">
        <v>181</v>
      </c>
      <c r="G26" s="18" t="s">
        <v>176</v>
      </c>
      <c r="H26" s="18" t="s">
        <v>181</v>
      </c>
      <c r="I26" s="18" t="s">
        <v>181</v>
      </c>
      <c r="J26" s="18" t="s">
        <v>181</v>
      </c>
      <c r="K26" s="18" t="s">
        <v>181</v>
      </c>
      <c r="L26" s="18" t="s">
        <v>181</v>
      </c>
      <c r="M26" s="19" t="s">
        <v>178</v>
      </c>
      <c r="N26" s="18" t="s">
        <v>181</v>
      </c>
      <c r="O26" s="18" t="s">
        <v>176</v>
      </c>
      <c r="P26" s="18" t="s">
        <v>181</v>
      </c>
      <c r="Q26" s="18" t="s">
        <v>181</v>
      </c>
      <c r="R26" s="19" t="s">
        <v>178</v>
      </c>
      <c r="S26" s="18" t="s">
        <v>181</v>
      </c>
      <c r="T26" s="18" t="s">
        <v>181</v>
      </c>
      <c r="U26" s="18" t="s">
        <v>181</v>
      </c>
      <c r="V26" s="18" t="s">
        <v>181</v>
      </c>
      <c r="W26" s="18" t="s">
        <v>176</v>
      </c>
      <c r="X26" s="18" t="s">
        <v>175</v>
      </c>
      <c r="Y26" s="18" t="s">
        <v>175</v>
      </c>
      <c r="Z26" s="18" t="s">
        <v>175</v>
      </c>
      <c r="AL26" t="str">
        <f>IFERROR(_xlfn.XLOOKUP(E26, Branches!$B$2:$B$100, Branches!$C$2:$C$100, "خطأ في الكود"), "")</f>
        <v>Musab Hakami</v>
      </c>
    </row>
    <row r="27" spans="1:38">
      <c r="A27" s="14" t="s">
        <v>64</v>
      </c>
      <c r="B27" s="14">
        <v>80114892</v>
      </c>
      <c r="C27" s="14">
        <v>80114892</v>
      </c>
      <c r="D27" s="18" t="s">
        <v>27</v>
      </c>
      <c r="E27" s="18" t="s">
        <v>65</v>
      </c>
      <c r="F27" s="14" t="s">
        <v>181</v>
      </c>
      <c r="G27" s="14" t="s">
        <v>181</v>
      </c>
      <c r="H27" s="14" t="s">
        <v>181</v>
      </c>
      <c r="I27" s="14" t="s">
        <v>181</v>
      </c>
      <c r="J27" s="14" t="s">
        <v>176</v>
      </c>
      <c r="K27" s="14" t="s">
        <v>181</v>
      </c>
      <c r="L27" s="14" t="s">
        <v>181</v>
      </c>
      <c r="M27" s="14" t="s">
        <v>181</v>
      </c>
      <c r="N27" s="14" t="s">
        <v>181</v>
      </c>
      <c r="O27" s="14" t="s">
        <v>176</v>
      </c>
      <c r="P27" s="14" t="s">
        <v>181</v>
      </c>
      <c r="Q27" s="14" t="s">
        <v>181</v>
      </c>
      <c r="R27" s="14" t="s">
        <v>181</v>
      </c>
      <c r="S27" s="14" t="s">
        <v>181</v>
      </c>
      <c r="T27" s="14" t="s">
        <v>181</v>
      </c>
      <c r="U27" s="14" t="s">
        <v>176</v>
      </c>
      <c r="V27" s="14" t="s">
        <v>181</v>
      </c>
      <c r="W27" s="14" t="s">
        <v>181</v>
      </c>
      <c r="X27" s="14" t="s">
        <v>181</v>
      </c>
      <c r="Y27" s="14" t="s">
        <v>181</v>
      </c>
      <c r="Z27" s="14" t="s">
        <v>181</v>
      </c>
      <c r="AL27" t="str">
        <f>IFERROR(_xlfn.XLOOKUP(E27, Branches!$B$2:$B$100, Branches!$C$2:$C$100, "خطأ في الكود"), "")</f>
        <v>Mohammed Gobran Abdali</v>
      </c>
    </row>
    <row r="28" spans="1:38">
      <c r="A28" s="18" t="s">
        <v>66</v>
      </c>
      <c r="B28" s="18">
        <v>80092788</v>
      </c>
      <c r="C28" s="18">
        <v>80092788</v>
      </c>
      <c r="D28" s="18" t="s">
        <v>27</v>
      </c>
      <c r="E28" s="18" t="s">
        <v>67</v>
      </c>
      <c r="F28" s="18" t="s">
        <v>181</v>
      </c>
      <c r="G28" s="19" t="s">
        <v>178</v>
      </c>
      <c r="H28" s="18" t="s">
        <v>176</v>
      </c>
      <c r="I28" s="18" t="s">
        <v>181</v>
      </c>
      <c r="J28" s="18" t="s">
        <v>175</v>
      </c>
      <c r="K28" s="18" t="s">
        <v>175</v>
      </c>
      <c r="L28" s="18" t="s">
        <v>175</v>
      </c>
      <c r="M28" s="18" t="s">
        <v>175</v>
      </c>
      <c r="N28" s="19" t="s">
        <v>177</v>
      </c>
      <c r="O28" s="18" t="s">
        <v>175</v>
      </c>
      <c r="P28" s="18" t="s">
        <v>176</v>
      </c>
      <c r="Q28" s="18" t="s">
        <v>181</v>
      </c>
      <c r="R28" s="19" t="s">
        <v>178</v>
      </c>
      <c r="S28" s="18" t="s">
        <v>181</v>
      </c>
      <c r="T28" s="18" t="s">
        <v>181</v>
      </c>
      <c r="U28" s="18" t="s">
        <v>181</v>
      </c>
      <c r="V28" s="19" t="s">
        <v>178</v>
      </c>
      <c r="W28" s="18" t="s">
        <v>181</v>
      </c>
      <c r="X28" s="18" t="s">
        <v>176</v>
      </c>
      <c r="Y28" s="19" t="s">
        <v>177</v>
      </c>
      <c r="Z28" s="18" t="s">
        <v>175</v>
      </c>
      <c r="AL28" t="str">
        <f>IFERROR(_xlfn.XLOOKUP(E28, Branches!$B$2:$B$100, Branches!$C$2:$C$100, "خطأ في الكود"), "")</f>
        <v>Mohammed Gobran Abdali</v>
      </c>
    </row>
    <row r="29" spans="1:38">
      <c r="A29" s="14" t="s">
        <v>68</v>
      </c>
      <c r="B29" s="14">
        <v>80123620</v>
      </c>
      <c r="C29" s="14">
        <v>80123620</v>
      </c>
      <c r="D29" s="18" t="s">
        <v>18</v>
      </c>
      <c r="E29" s="18" t="s">
        <v>69</v>
      </c>
      <c r="F29" s="14" t="s">
        <v>184</v>
      </c>
      <c r="G29" s="14" t="s">
        <v>181</v>
      </c>
      <c r="H29" s="14" t="s">
        <v>181</v>
      </c>
      <c r="I29" s="14" t="s">
        <v>181</v>
      </c>
      <c r="J29" s="14" t="s">
        <v>176</v>
      </c>
      <c r="K29" s="14" t="s">
        <v>181</v>
      </c>
      <c r="L29" s="14" t="s">
        <v>181</v>
      </c>
      <c r="M29" s="14" t="s">
        <v>181</v>
      </c>
      <c r="N29" s="14" t="s">
        <v>181</v>
      </c>
      <c r="O29" s="15" t="s">
        <v>180</v>
      </c>
      <c r="P29" s="14" t="s">
        <v>181</v>
      </c>
      <c r="Q29" s="14" t="s">
        <v>176</v>
      </c>
      <c r="R29" s="14" t="s">
        <v>181</v>
      </c>
      <c r="S29" s="14" t="s">
        <v>181</v>
      </c>
      <c r="T29" s="14" t="s">
        <v>181</v>
      </c>
      <c r="U29" s="14" t="s">
        <v>181</v>
      </c>
      <c r="V29" s="14" t="s">
        <v>181</v>
      </c>
      <c r="W29" s="14" t="s">
        <v>181</v>
      </c>
      <c r="X29" s="14" t="s">
        <v>176</v>
      </c>
      <c r="Y29" s="14" t="s">
        <v>181</v>
      </c>
      <c r="Z29" s="14" t="s">
        <v>181</v>
      </c>
      <c r="AL29" t="str">
        <f>IFERROR(_xlfn.XLOOKUP(E29, Branches!$B$2:$B$100, Branches!$C$2:$C$100, "خطأ في الكود"), "")</f>
        <v>Zayed Al Subaie</v>
      </c>
    </row>
    <row r="30" spans="1:38">
      <c r="A30" s="18" t="s">
        <v>70</v>
      </c>
      <c r="B30" s="18">
        <v>80070943</v>
      </c>
      <c r="C30" s="18">
        <v>80070943</v>
      </c>
      <c r="D30" s="18" t="s">
        <v>18</v>
      </c>
      <c r="E30" s="18" t="s">
        <v>71</v>
      </c>
      <c r="F30" s="19" t="s">
        <v>178</v>
      </c>
      <c r="G30" s="19" t="s">
        <v>178</v>
      </c>
      <c r="H30" s="19" t="s">
        <v>178</v>
      </c>
      <c r="I30" s="18" t="s">
        <v>176</v>
      </c>
      <c r="J30" s="18" t="s">
        <v>181</v>
      </c>
      <c r="K30" s="19" t="s">
        <v>178</v>
      </c>
      <c r="L30" s="19" t="s">
        <v>178</v>
      </c>
      <c r="M30" s="19" t="s">
        <v>178</v>
      </c>
      <c r="N30" s="19" t="s">
        <v>178</v>
      </c>
      <c r="O30" s="18" t="s">
        <v>181</v>
      </c>
      <c r="P30" s="18" t="s">
        <v>176</v>
      </c>
      <c r="Q30" s="19" t="s">
        <v>178</v>
      </c>
      <c r="R30" s="19" t="s">
        <v>178</v>
      </c>
      <c r="S30" s="19" t="s">
        <v>178</v>
      </c>
      <c r="T30" s="19" t="s">
        <v>178</v>
      </c>
      <c r="U30" s="19" t="s">
        <v>178</v>
      </c>
      <c r="V30" s="19" t="s">
        <v>178</v>
      </c>
      <c r="W30" s="18" t="s">
        <v>176</v>
      </c>
      <c r="X30" s="19" t="s">
        <v>178</v>
      </c>
      <c r="Y30" s="19" t="s">
        <v>178</v>
      </c>
      <c r="Z30" s="19" t="s">
        <v>178</v>
      </c>
      <c r="AL30" t="str">
        <f>IFERROR(_xlfn.XLOOKUP(E30, Branches!$B$2:$B$100, Branches!$C$2:$C$100, "خطأ في الكود"), "")</f>
        <v>Zayed Al Subaie</v>
      </c>
    </row>
    <row r="31" spans="1:38">
      <c r="A31" s="14" t="s">
        <v>72</v>
      </c>
      <c r="B31" s="14">
        <v>80123550</v>
      </c>
      <c r="C31" s="14">
        <v>80123550</v>
      </c>
      <c r="D31" s="18" t="s">
        <v>18</v>
      </c>
      <c r="E31" s="18" t="s">
        <v>73</v>
      </c>
      <c r="F31" s="14" t="s">
        <v>181</v>
      </c>
      <c r="G31" s="14" t="s">
        <v>181</v>
      </c>
      <c r="H31" s="14" t="s">
        <v>181</v>
      </c>
      <c r="I31" s="14" t="s">
        <v>181</v>
      </c>
      <c r="J31" s="14" t="s">
        <v>179</v>
      </c>
      <c r="K31" s="14" t="s">
        <v>175</v>
      </c>
      <c r="L31" s="14" t="s">
        <v>175</v>
      </c>
      <c r="M31" s="14" t="s">
        <v>175</v>
      </c>
      <c r="N31" s="19" t="s">
        <v>177</v>
      </c>
      <c r="O31" s="15" t="s">
        <v>180</v>
      </c>
      <c r="P31" s="14" t="s">
        <v>181</v>
      </c>
      <c r="Q31" s="14" t="s">
        <v>179</v>
      </c>
      <c r="R31" s="14" t="s">
        <v>175</v>
      </c>
      <c r="S31" s="14" t="s">
        <v>175</v>
      </c>
      <c r="T31" s="14" t="s">
        <v>175</v>
      </c>
      <c r="U31" s="14" t="s">
        <v>181</v>
      </c>
      <c r="V31" s="14" t="s">
        <v>181</v>
      </c>
      <c r="W31" s="14" t="s">
        <v>181</v>
      </c>
      <c r="X31" s="14" t="s">
        <v>176</v>
      </c>
      <c r="Y31" s="14" t="s">
        <v>181</v>
      </c>
      <c r="Z31" s="14" t="s">
        <v>181</v>
      </c>
      <c r="AL31" t="str">
        <f>IFERROR(_xlfn.XLOOKUP(E31, Branches!$B$2:$B$100, Branches!$C$2:$C$100, "خطأ في الكود"), "")</f>
        <v>Zayed Al Subaie</v>
      </c>
    </row>
    <row r="32" spans="1:38">
      <c r="A32" s="18" t="s">
        <v>74</v>
      </c>
      <c r="B32" s="18">
        <v>80000075</v>
      </c>
      <c r="C32" s="18">
        <v>80000075</v>
      </c>
      <c r="D32" s="18" t="s">
        <v>18</v>
      </c>
      <c r="E32" s="18" t="s">
        <v>75</v>
      </c>
      <c r="F32" s="18" t="s">
        <v>181</v>
      </c>
      <c r="G32" s="18" t="s">
        <v>181</v>
      </c>
      <c r="H32" s="18" t="s">
        <v>181</v>
      </c>
      <c r="I32" s="18" t="s">
        <v>176</v>
      </c>
      <c r="J32" s="18" t="s">
        <v>181</v>
      </c>
      <c r="K32" s="18" t="s">
        <v>181</v>
      </c>
      <c r="L32" s="18" t="s">
        <v>181</v>
      </c>
      <c r="M32" s="18" t="s">
        <v>181</v>
      </c>
      <c r="N32" s="18" t="s">
        <v>181</v>
      </c>
      <c r="O32" s="18" t="s">
        <v>181</v>
      </c>
      <c r="P32" s="18" t="s">
        <v>176</v>
      </c>
      <c r="Q32" s="18" t="s">
        <v>175</v>
      </c>
      <c r="R32" s="18" t="s">
        <v>175</v>
      </c>
      <c r="S32" s="18" t="s">
        <v>175</v>
      </c>
      <c r="T32" s="18" t="s">
        <v>175</v>
      </c>
      <c r="U32" s="18" t="s">
        <v>175</v>
      </c>
      <c r="V32" s="18" t="s">
        <v>175</v>
      </c>
      <c r="W32" s="18" t="s">
        <v>176</v>
      </c>
      <c r="X32" s="18" t="s">
        <v>175</v>
      </c>
      <c r="Y32" s="18" t="s">
        <v>175</v>
      </c>
      <c r="Z32" s="18" t="s">
        <v>181</v>
      </c>
      <c r="AL32" t="str">
        <f>IFERROR(_xlfn.XLOOKUP(E32, Branches!$B$2:$B$100, Branches!$C$2:$C$100, "خطأ في الكود"), "")</f>
        <v>Othman Al Sagri</v>
      </c>
    </row>
    <row r="33" spans="1:38">
      <c r="A33" s="14" t="s">
        <v>76</v>
      </c>
      <c r="B33" s="14">
        <v>80121125</v>
      </c>
      <c r="C33" s="14">
        <v>80121125</v>
      </c>
      <c r="D33" s="18" t="s">
        <v>30</v>
      </c>
      <c r="E33" s="18" t="s">
        <v>77</v>
      </c>
      <c r="F33" s="14" t="s">
        <v>181</v>
      </c>
      <c r="G33" s="14" t="s">
        <v>181</v>
      </c>
      <c r="H33" s="14" t="s">
        <v>181</v>
      </c>
      <c r="I33" s="14" t="s">
        <v>176</v>
      </c>
      <c r="J33" s="14" t="s">
        <v>181</v>
      </c>
      <c r="K33" s="14" t="s">
        <v>181</v>
      </c>
      <c r="L33" s="14" t="s">
        <v>181</v>
      </c>
      <c r="M33" s="14" t="s">
        <v>181</v>
      </c>
      <c r="N33" s="14" t="s">
        <v>181</v>
      </c>
      <c r="O33" s="14" t="s">
        <v>181</v>
      </c>
      <c r="P33" s="14" t="s">
        <v>181</v>
      </c>
      <c r="Q33" s="19" t="s">
        <v>178</v>
      </c>
      <c r="R33" s="14" t="s">
        <v>181</v>
      </c>
      <c r="S33" s="14" t="s">
        <v>181</v>
      </c>
      <c r="T33" s="14" t="s">
        <v>181</v>
      </c>
      <c r="U33" s="19" t="s">
        <v>178</v>
      </c>
      <c r="V33" s="14" t="s">
        <v>181</v>
      </c>
      <c r="W33" s="15" t="s">
        <v>180</v>
      </c>
      <c r="X33" s="14" t="s">
        <v>181</v>
      </c>
      <c r="Y33" s="14" t="s">
        <v>181</v>
      </c>
      <c r="Z33" s="14" t="s">
        <v>181</v>
      </c>
      <c r="AL33" t="str">
        <f>IFERROR(_xlfn.XLOOKUP(E33, Branches!$B$2:$B$100, Branches!$C$2:$C$100, "خطأ في الكود"), "")</f>
        <v>Bandar Garziz</v>
      </c>
    </row>
    <row r="34" spans="1:38">
      <c r="A34" s="18" t="s">
        <v>78</v>
      </c>
      <c r="B34" s="18">
        <v>80104063</v>
      </c>
      <c r="C34" s="18">
        <v>80104063</v>
      </c>
      <c r="D34" s="18" t="s">
        <v>27</v>
      </c>
      <c r="E34" s="18" t="s">
        <v>79</v>
      </c>
      <c r="F34" s="19" t="s">
        <v>178</v>
      </c>
      <c r="G34" s="19" t="s">
        <v>178</v>
      </c>
      <c r="H34" s="18" t="s">
        <v>176</v>
      </c>
      <c r="I34" s="19" t="s">
        <v>178</v>
      </c>
      <c r="J34" s="19" t="s">
        <v>177</v>
      </c>
      <c r="K34" s="18" t="s">
        <v>181</v>
      </c>
      <c r="L34" s="18" t="s">
        <v>181</v>
      </c>
      <c r="M34" s="18" t="s">
        <v>181</v>
      </c>
      <c r="N34" s="18" t="s">
        <v>181</v>
      </c>
      <c r="O34" s="18" t="s">
        <v>176</v>
      </c>
      <c r="P34" s="18" t="s">
        <v>181</v>
      </c>
      <c r="Q34" s="18" t="s">
        <v>181</v>
      </c>
      <c r="R34" s="19" t="s">
        <v>178</v>
      </c>
      <c r="S34" s="19" t="s">
        <v>178</v>
      </c>
      <c r="T34" s="18" t="s">
        <v>181</v>
      </c>
      <c r="U34" s="18" t="s">
        <v>181</v>
      </c>
      <c r="V34" s="18" t="s">
        <v>176</v>
      </c>
      <c r="W34" s="18" t="s">
        <v>181</v>
      </c>
      <c r="X34" s="18" t="s">
        <v>181</v>
      </c>
      <c r="Y34" s="18" t="s">
        <v>181</v>
      </c>
      <c r="Z34" s="19" t="s">
        <v>178</v>
      </c>
      <c r="AL34" t="str">
        <f>IFERROR(_xlfn.XLOOKUP(E34, Branches!$B$2:$B$100, Branches!$C$2:$C$100, "خطأ في الكود"), "")</f>
        <v>Mohammed Gobran Abdali</v>
      </c>
    </row>
    <row r="35" spans="1:38">
      <c r="A35" s="14" t="s">
        <v>80</v>
      </c>
      <c r="B35" s="14">
        <v>80123294</v>
      </c>
      <c r="C35" s="14">
        <v>80123294</v>
      </c>
      <c r="D35" s="18" t="s">
        <v>41</v>
      </c>
      <c r="E35" s="18" t="s">
        <v>81</v>
      </c>
      <c r="F35" s="14" t="s">
        <v>182</v>
      </c>
      <c r="G35" s="14" t="s">
        <v>181</v>
      </c>
      <c r="H35" s="19" t="s">
        <v>178</v>
      </c>
      <c r="I35" s="14" t="s">
        <v>176</v>
      </c>
      <c r="J35" s="19" t="s">
        <v>177</v>
      </c>
      <c r="K35" s="14" t="s">
        <v>184</v>
      </c>
      <c r="L35" s="14" t="s">
        <v>175</v>
      </c>
      <c r="M35" s="14" t="s">
        <v>175</v>
      </c>
      <c r="N35" s="19" t="s">
        <v>177</v>
      </c>
      <c r="O35" s="14" t="s">
        <v>175</v>
      </c>
      <c r="P35" s="14" t="s">
        <v>176</v>
      </c>
      <c r="Q35" s="14" t="s">
        <v>181</v>
      </c>
      <c r="R35" s="19" t="s">
        <v>178</v>
      </c>
      <c r="S35" s="14" t="s">
        <v>181</v>
      </c>
      <c r="T35" s="14" t="s">
        <v>181</v>
      </c>
      <c r="U35" s="14" t="s">
        <v>205</v>
      </c>
      <c r="V35" s="14" t="s">
        <v>205</v>
      </c>
      <c r="W35" s="14" t="s">
        <v>176</v>
      </c>
      <c r="X35" s="14" t="s">
        <v>181</v>
      </c>
      <c r="Y35" s="14" t="s">
        <v>181</v>
      </c>
      <c r="Z35" s="14" t="s">
        <v>181</v>
      </c>
      <c r="AL35" t="str">
        <f>IFERROR(_xlfn.XLOOKUP(E35, Branches!$B$2:$B$100, Branches!$C$2:$C$100, "خطأ في الكود"), "")</f>
        <v>Mohammed Al - Gahtani</v>
      </c>
    </row>
    <row r="36" spans="1:38">
      <c r="A36" s="18" t="s">
        <v>190</v>
      </c>
      <c r="B36" s="18">
        <v>80128294</v>
      </c>
      <c r="C36" s="18">
        <v>80128294</v>
      </c>
      <c r="D36" s="18" t="s">
        <v>18</v>
      </c>
      <c r="E36" s="18" t="s">
        <v>21</v>
      </c>
      <c r="F36" s="19" t="s">
        <v>178</v>
      </c>
      <c r="G36" s="18" t="s">
        <v>181</v>
      </c>
      <c r="H36" s="18" t="s">
        <v>176</v>
      </c>
      <c r="I36" s="18" t="s">
        <v>181</v>
      </c>
      <c r="J36" s="18" t="s">
        <v>181</v>
      </c>
      <c r="K36" s="18" t="s">
        <v>181</v>
      </c>
      <c r="L36" s="18" t="s">
        <v>181</v>
      </c>
      <c r="M36" s="18" t="s">
        <v>181</v>
      </c>
      <c r="N36" s="18" t="s">
        <v>176</v>
      </c>
      <c r="O36" s="18" t="s">
        <v>176</v>
      </c>
      <c r="P36" s="18" t="s">
        <v>181</v>
      </c>
      <c r="Q36" s="18" t="s">
        <v>181</v>
      </c>
      <c r="R36" s="18" t="s">
        <v>181</v>
      </c>
      <c r="S36" s="18" t="s">
        <v>181</v>
      </c>
      <c r="T36" s="19" t="s">
        <v>178</v>
      </c>
      <c r="U36" s="18" t="s">
        <v>181</v>
      </c>
      <c r="V36" s="18" t="s">
        <v>176</v>
      </c>
      <c r="W36" s="18" t="s">
        <v>181</v>
      </c>
      <c r="X36" s="18" t="s">
        <v>181</v>
      </c>
      <c r="Y36" s="18" t="s">
        <v>181</v>
      </c>
      <c r="Z36" s="18" t="s">
        <v>181</v>
      </c>
      <c r="AL36" t="str">
        <f>IFERROR(_xlfn.XLOOKUP(E36, Branches!$B$2:$B$100, Branches!$C$2:$C$100, "خطأ في الكود"), "")</f>
        <v>Zayed Al Subaie</v>
      </c>
    </row>
    <row r="37" spans="1:38">
      <c r="A37" s="14" t="s">
        <v>191</v>
      </c>
      <c r="B37" s="14">
        <v>80047236</v>
      </c>
      <c r="C37" s="14">
        <v>80047236</v>
      </c>
      <c r="D37" s="18" t="s">
        <v>41</v>
      </c>
      <c r="E37" s="18" t="s">
        <v>81</v>
      </c>
      <c r="F37" s="19" t="s">
        <v>177</v>
      </c>
      <c r="G37" s="14" t="s">
        <v>175</v>
      </c>
      <c r="H37" s="14" t="s">
        <v>175</v>
      </c>
      <c r="I37" s="14" t="s">
        <v>176</v>
      </c>
      <c r="J37" s="19" t="s">
        <v>177</v>
      </c>
      <c r="K37" s="14" t="s">
        <v>175</v>
      </c>
      <c r="L37" s="14" t="s">
        <v>175</v>
      </c>
      <c r="M37" s="14" t="s">
        <v>192</v>
      </c>
      <c r="N37" s="14" t="s">
        <v>175</v>
      </c>
      <c r="O37" s="14" t="s">
        <v>175</v>
      </c>
      <c r="P37" s="14" t="s">
        <v>176</v>
      </c>
      <c r="Q37" s="14" t="s">
        <v>175</v>
      </c>
      <c r="R37" s="14" t="s">
        <v>175</v>
      </c>
      <c r="S37" s="14" t="s">
        <v>175</v>
      </c>
      <c r="T37" s="14" t="s">
        <v>192</v>
      </c>
      <c r="U37" s="14" t="s">
        <v>175</v>
      </c>
      <c r="V37" s="19" t="s">
        <v>177</v>
      </c>
      <c r="W37" s="14" t="s">
        <v>176</v>
      </c>
      <c r="X37" s="14" t="s">
        <v>175</v>
      </c>
      <c r="Y37" s="14" t="s">
        <v>175</v>
      </c>
      <c r="Z37" s="14" t="s">
        <v>192</v>
      </c>
      <c r="AL37" t="str">
        <f>IFERROR(_xlfn.XLOOKUP(E37, Branches!$B$2:$B$100, Branches!$C$2:$C$100, "خطأ في الكود"), "")</f>
        <v>Mohammed Al - Gahtani</v>
      </c>
    </row>
    <row r="38" spans="1:38">
      <c r="A38" s="18" t="s">
        <v>82</v>
      </c>
      <c r="B38" s="18">
        <v>80129738</v>
      </c>
      <c r="C38" s="18">
        <v>80129738</v>
      </c>
      <c r="D38" s="18" t="s">
        <v>46</v>
      </c>
      <c r="E38" s="18" t="s">
        <v>83</v>
      </c>
      <c r="F38" s="18" t="s">
        <v>175</v>
      </c>
      <c r="G38" s="18" t="s">
        <v>175</v>
      </c>
      <c r="H38" s="19" t="s">
        <v>177</v>
      </c>
      <c r="I38" s="18" t="s">
        <v>176</v>
      </c>
      <c r="J38" s="18" t="s">
        <v>181</v>
      </c>
      <c r="K38" s="18" t="s">
        <v>181</v>
      </c>
      <c r="L38" s="18" t="s">
        <v>181</v>
      </c>
      <c r="M38" s="18" t="s">
        <v>181</v>
      </c>
      <c r="N38" s="18" t="s">
        <v>181</v>
      </c>
      <c r="O38" s="18" t="s">
        <v>181</v>
      </c>
      <c r="P38" s="18" t="s">
        <v>179</v>
      </c>
      <c r="Q38" s="18" t="s">
        <v>181</v>
      </c>
      <c r="R38" s="18" t="s">
        <v>175</v>
      </c>
      <c r="S38" s="18" t="s">
        <v>175</v>
      </c>
      <c r="T38" s="18" t="s">
        <v>175</v>
      </c>
      <c r="U38" s="18" t="s">
        <v>175</v>
      </c>
      <c r="V38" s="19" t="s">
        <v>177</v>
      </c>
      <c r="W38" s="18" t="s">
        <v>176</v>
      </c>
      <c r="X38" s="15" t="s">
        <v>180</v>
      </c>
      <c r="Y38" s="15" t="s">
        <v>180</v>
      </c>
      <c r="Z38" s="15" t="s">
        <v>180</v>
      </c>
      <c r="AL38" t="str">
        <f>IFERROR(_xlfn.XLOOKUP(E38, Branches!$B$2:$B$100, Branches!$C$2:$C$100, "خطأ في الكود"), "")</f>
        <v>Musab Hakami</v>
      </c>
    </row>
    <row r="39" spans="1:38">
      <c r="A39" s="14" t="s">
        <v>193</v>
      </c>
      <c r="B39" s="14">
        <v>80106248</v>
      </c>
      <c r="C39" s="14">
        <v>80106248</v>
      </c>
      <c r="D39" s="18" t="s">
        <v>41</v>
      </c>
      <c r="E39" s="18" t="s">
        <v>81</v>
      </c>
      <c r="F39" s="19" t="s">
        <v>177</v>
      </c>
      <c r="G39" s="19" t="s">
        <v>177</v>
      </c>
      <c r="H39" s="14" t="s">
        <v>175</v>
      </c>
      <c r="I39" s="14" t="s">
        <v>181</v>
      </c>
      <c r="J39" s="14" t="s">
        <v>176</v>
      </c>
      <c r="K39" s="14" t="s">
        <v>181</v>
      </c>
      <c r="L39" s="14" t="s">
        <v>181</v>
      </c>
      <c r="M39" s="14" t="s">
        <v>181</v>
      </c>
      <c r="N39" s="14" t="s">
        <v>181</v>
      </c>
      <c r="O39" s="15" t="s">
        <v>180</v>
      </c>
      <c r="P39" s="14" t="s">
        <v>181</v>
      </c>
      <c r="Q39" s="14" t="s">
        <v>176</v>
      </c>
      <c r="R39" s="14" t="s">
        <v>181</v>
      </c>
      <c r="S39" s="14" t="s">
        <v>181</v>
      </c>
      <c r="T39" s="14" t="s">
        <v>181</v>
      </c>
      <c r="U39" s="14" t="s">
        <v>181</v>
      </c>
      <c r="V39" s="14" t="s">
        <v>181</v>
      </c>
      <c r="W39" s="14" t="s">
        <v>181</v>
      </c>
      <c r="X39" s="14" t="s">
        <v>176</v>
      </c>
      <c r="Y39" s="19" t="s">
        <v>177</v>
      </c>
      <c r="Z39" s="19" t="s">
        <v>177</v>
      </c>
      <c r="AL39" t="str">
        <f>IFERROR(_xlfn.XLOOKUP(E39, Branches!$B$2:$B$100, Branches!$C$2:$C$100, "خطأ في الكود"), "")</f>
        <v>Mohammed Al - Gahtani</v>
      </c>
    </row>
    <row r="40" spans="1:38">
      <c r="A40" s="18" t="s">
        <v>84</v>
      </c>
      <c r="B40" s="18">
        <v>80107716</v>
      </c>
      <c r="C40" s="18">
        <v>80107716</v>
      </c>
      <c r="D40" s="18" t="s">
        <v>30</v>
      </c>
      <c r="E40" s="18" t="s">
        <v>85</v>
      </c>
      <c r="F40" s="18" t="s">
        <v>181</v>
      </c>
      <c r="G40" s="18" t="s">
        <v>181</v>
      </c>
      <c r="H40" s="18" t="s">
        <v>181</v>
      </c>
      <c r="I40" s="18" t="s">
        <v>176</v>
      </c>
      <c r="J40" s="18" t="s">
        <v>175</v>
      </c>
      <c r="K40" s="18" t="s">
        <v>181</v>
      </c>
      <c r="L40" s="18" t="s">
        <v>181</v>
      </c>
      <c r="M40" s="18" t="s">
        <v>181</v>
      </c>
      <c r="N40" s="15" t="s">
        <v>180</v>
      </c>
      <c r="O40" s="15" t="s">
        <v>180</v>
      </c>
      <c r="P40" s="18" t="s">
        <v>176</v>
      </c>
      <c r="Q40" s="18" t="s">
        <v>175</v>
      </c>
      <c r="R40" s="18" t="s">
        <v>181</v>
      </c>
      <c r="S40" s="18" t="s">
        <v>181</v>
      </c>
      <c r="T40" s="18" t="s">
        <v>181</v>
      </c>
      <c r="U40" s="18" t="s">
        <v>181</v>
      </c>
      <c r="V40" s="19" t="s">
        <v>178</v>
      </c>
      <c r="W40" s="18" t="s">
        <v>176</v>
      </c>
      <c r="X40" s="18" t="s">
        <v>175</v>
      </c>
      <c r="Y40" s="18" t="s">
        <v>181</v>
      </c>
      <c r="Z40" s="18" t="s">
        <v>181</v>
      </c>
      <c r="AL40" t="str">
        <f>IFERROR(_xlfn.XLOOKUP(E40, Branches!$B$2:$B$100, Branches!$C$2:$C$100, "خطأ في الكود"), "")</f>
        <v>Bandar Garziz</v>
      </c>
    </row>
    <row r="41" spans="1:38">
      <c r="A41" s="14" t="s">
        <v>194</v>
      </c>
      <c r="B41" s="14">
        <v>80125423</v>
      </c>
      <c r="C41" s="14">
        <v>80125423</v>
      </c>
      <c r="D41" s="18" t="s">
        <v>30</v>
      </c>
      <c r="E41" s="18" t="s">
        <v>61</v>
      </c>
      <c r="F41" s="19" t="s">
        <v>177</v>
      </c>
      <c r="G41" s="14" t="s">
        <v>175</v>
      </c>
      <c r="H41" s="14" t="s">
        <v>175</v>
      </c>
      <c r="I41" s="14" t="s">
        <v>181</v>
      </c>
      <c r="J41" s="14" t="s">
        <v>176</v>
      </c>
      <c r="K41" s="14" t="s">
        <v>181</v>
      </c>
      <c r="L41" s="14" t="s">
        <v>181</v>
      </c>
      <c r="M41" s="14" t="s">
        <v>181</v>
      </c>
      <c r="N41" s="14" t="s">
        <v>181</v>
      </c>
      <c r="O41" s="15" t="s">
        <v>180</v>
      </c>
      <c r="P41" s="14" t="s">
        <v>181</v>
      </c>
      <c r="Q41" s="14" t="s">
        <v>176</v>
      </c>
      <c r="R41" s="14" t="s">
        <v>181</v>
      </c>
      <c r="S41" s="14" t="s">
        <v>181</v>
      </c>
      <c r="T41" s="14" t="s">
        <v>181</v>
      </c>
      <c r="U41" s="14" t="s">
        <v>181</v>
      </c>
      <c r="V41" s="14" t="s">
        <v>181</v>
      </c>
      <c r="W41" s="14" t="s">
        <v>181</v>
      </c>
      <c r="X41" s="14" t="s">
        <v>176</v>
      </c>
      <c r="Y41" s="14" t="s">
        <v>181</v>
      </c>
      <c r="Z41" s="14" t="s">
        <v>181</v>
      </c>
      <c r="AL41" t="str">
        <f>IFERROR(_xlfn.XLOOKUP(E41, Branches!$B$2:$B$100, Branches!$C$2:$C$100, "خطأ في الكود"), "")</f>
        <v>Abdul Rahman Mohsen Al Enzi</v>
      </c>
    </row>
    <row r="42" spans="1:38">
      <c r="A42" s="18" t="s">
        <v>86</v>
      </c>
      <c r="B42" s="18">
        <v>80129936</v>
      </c>
      <c r="C42" s="18">
        <v>80129936</v>
      </c>
      <c r="D42" s="18" t="s">
        <v>18</v>
      </c>
      <c r="E42" s="18" t="s">
        <v>87</v>
      </c>
      <c r="F42" s="18" t="s">
        <v>184</v>
      </c>
      <c r="G42" s="18" t="s">
        <v>184</v>
      </c>
      <c r="H42" s="18" t="s">
        <v>184</v>
      </c>
      <c r="I42" s="18" t="s">
        <v>184</v>
      </c>
      <c r="J42" s="18" t="s">
        <v>184</v>
      </c>
      <c r="K42" s="18" t="s">
        <v>184</v>
      </c>
      <c r="L42" s="18" t="s">
        <v>184</v>
      </c>
      <c r="M42" s="18" t="s">
        <v>184</v>
      </c>
      <c r="N42" s="18" t="s">
        <v>184</v>
      </c>
      <c r="O42" s="18" t="s">
        <v>184</v>
      </c>
      <c r="P42" s="18" t="s">
        <v>184</v>
      </c>
      <c r="Q42" s="18" t="s">
        <v>184</v>
      </c>
      <c r="R42" s="18" t="s">
        <v>184</v>
      </c>
      <c r="S42" s="18" t="s">
        <v>184</v>
      </c>
      <c r="T42" s="18" t="s">
        <v>184</v>
      </c>
      <c r="U42" s="15" t="s">
        <v>189</v>
      </c>
      <c r="V42" s="15" t="s">
        <v>189</v>
      </c>
      <c r="W42" s="15" t="s">
        <v>180</v>
      </c>
      <c r="X42" s="18" t="s">
        <v>176</v>
      </c>
      <c r="Y42" s="15" t="s">
        <v>189</v>
      </c>
      <c r="Z42" s="15" t="s">
        <v>189</v>
      </c>
      <c r="AL42" t="str">
        <f>IFERROR(_xlfn.XLOOKUP(E42, Branches!$B$2:$B$100, Branches!$C$2:$C$100, "خطأ في الكود"), "")</f>
        <v>Zayed Al Subaie</v>
      </c>
    </row>
    <row r="43" spans="1:38">
      <c r="A43" s="14" t="s">
        <v>88</v>
      </c>
      <c r="B43" s="14">
        <v>80118270</v>
      </c>
      <c r="C43" s="14">
        <v>80118270</v>
      </c>
      <c r="D43" s="18" t="s">
        <v>18</v>
      </c>
      <c r="E43" s="18" t="s">
        <v>89</v>
      </c>
      <c r="F43" s="14" t="s">
        <v>205</v>
      </c>
      <c r="G43" s="14" t="s">
        <v>181</v>
      </c>
      <c r="H43" s="14" t="s">
        <v>181</v>
      </c>
      <c r="I43" s="14" t="s">
        <v>181</v>
      </c>
      <c r="J43" s="14" t="s">
        <v>176</v>
      </c>
      <c r="K43" s="14" t="s">
        <v>181</v>
      </c>
      <c r="L43" s="14" t="s">
        <v>181</v>
      </c>
      <c r="M43" s="14" t="s">
        <v>184</v>
      </c>
      <c r="N43" s="14" t="s">
        <v>184</v>
      </c>
      <c r="O43" s="14" t="s">
        <v>184</v>
      </c>
      <c r="P43" s="14" t="s">
        <v>181</v>
      </c>
      <c r="Q43" s="14" t="s">
        <v>176</v>
      </c>
      <c r="R43" s="14" t="s">
        <v>440</v>
      </c>
      <c r="S43" s="14" t="s">
        <v>181</v>
      </c>
      <c r="T43" s="14" t="s">
        <v>181</v>
      </c>
      <c r="U43" s="14" t="s">
        <v>181</v>
      </c>
      <c r="V43" s="14" t="s">
        <v>181</v>
      </c>
      <c r="W43" s="14" t="s">
        <v>181</v>
      </c>
      <c r="X43" s="14" t="s">
        <v>176</v>
      </c>
      <c r="Y43" s="14" t="s">
        <v>184</v>
      </c>
      <c r="Z43" s="14" t="s">
        <v>181</v>
      </c>
      <c r="AL43" t="str">
        <f>IFERROR(_xlfn.XLOOKUP(E43, Branches!$B$2:$B$100, Branches!$C$2:$C$100, "خطأ في الكود"), "")</f>
        <v>Zayed Al Subaie</v>
      </c>
    </row>
    <row r="44" spans="1:38">
      <c r="A44" s="18" t="s">
        <v>90</v>
      </c>
      <c r="B44" s="18">
        <v>80125977</v>
      </c>
      <c r="C44" s="18">
        <v>80125977</v>
      </c>
      <c r="D44" s="18" t="s">
        <v>46</v>
      </c>
      <c r="E44" s="18" t="s">
        <v>91</v>
      </c>
      <c r="F44" s="18" t="s">
        <v>181</v>
      </c>
      <c r="G44" s="18" t="s">
        <v>181</v>
      </c>
      <c r="H44" s="18" t="s">
        <v>181</v>
      </c>
      <c r="I44" s="18" t="s">
        <v>181</v>
      </c>
      <c r="J44" s="18" t="s">
        <v>176</v>
      </c>
      <c r="K44" s="18" t="s">
        <v>175</v>
      </c>
      <c r="L44" s="18" t="s">
        <v>175</v>
      </c>
      <c r="M44" s="18" t="s">
        <v>175</v>
      </c>
      <c r="N44" s="19" t="s">
        <v>177</v>
      </c>
      <c r="O44" s="18" t="s">
        <v>175</v>
      </c>
      <c r="P44" s="18" t="s">
        <v>181</v>
      </c>
      <c r="Q44" s="18" t="s">
        <v>176</v>
      </c>
      <c r="R44" s="18" t="s">
        <v>181</v>
      </c>
      <c r="S44" s="18" t="s">
        <v>205</v>
      </c>
      <c r="T44" s="18" t="s">
        <v>181</v>
      </c>
      <c r="U44" s="18" t="s">
        <v>181</v>
      </c>
      <c r="V44" s="18" t="s">
        <v>181</v>
      </c>
      <c r="W44" s="18" t="s">
        <v>181</v>
      </c>
      <c r="X44" s="18" t="s">
        <v>176</v>
      </c>
      <c r="Y44" s="18" t="s">
        <v>175</v>
      </c>
      <c r="Z44" s="18" t="s">
        <v>175</v>
      </c>
      <c r="AL44" t="str">
        <f>IFERROR(_xlfn.XLOOKUP(E44, Branches!$B$2:$B$100, Branches!$C$2:$C$100, "خطأ في الكود"), "")</f>
        <v>Musab Hakami</v>
      </c>
    </row>
    <row r="45" spans="1:38">
      <c r="A45" s="14" t="s">
        <v>92</v>
      </c>
      <c r="B45" s="14">
        <v>80129022</v>
      </c>
      <c r="C45" s="14">
        <v>80129022</v>
      </c>
      <c r="D45" s="18" t="s">
        <v>27</v>
      </c>
      <c r="E45" s="18" t="s">
        <v>93</v>
      </c>
      <c r="F45" s="14" t="s">
        <v>175</v>
      </c>
      <c r="G45" s="14" t="s">
        <v>175</v>
      </c>
      <c r="H45" s="14" t="s">
        <v>179</v>
      </c>
      <c r="I45" s="14" t="s">
        <v>181</v>
      </c>
      <c r="J45" s="14" t="s">
        <v>181</v>
      </c>
      <c r="K45" s="14" t="s">
        <v>181</v>
      </c>
      <c r="L45" s="14" t="s">
        <v>181</v>
      </c>
      <c r="M45" s="14" t="s">
        <v>181</v>
      </c>
      <c r="N45" s="19" t="s">
        <v>178</v>
      </c>
      <c r="O45" s="14" t="s">
        <v>181</v>
      </c>
      <c r="P45" s="14" t="s">
        <v>176</v>
      </c>
      <c r="Q45" s="14" t="s">
        <v>192</v>
      </c>
      <c r="R45" s="14" t="s">
        <v>192</v>
      </c>
      <c r="S45" s="14" t="s">
        <v>175</v>
      </c>
      <c r="T45" s="14" t="s">
        <v>175</v>
      </c>
      <c r="U45" s="14" t="s">
        <v>175</v>
      </c>
      <c r="V45" s="14" t="s">
        <v>175</v>
      </c>
      <c r="W45" s="14" t="s">
        <v>176</v>
      </c>
      <c r="X45" s="14" t="s">
        <v>181</v>
      </c>
      <c r="Y45" s="14" t="s">
        <v>181</v>
      </c>
      <c r="Z45" s="14" t="s">
        <v>181</v>
      </c>
      <c r="AL45" t="str">
        <f>IFERROR(_xlfn.XLOOKUP(E45, Branches!$B$2:$B$100, Branches!$C$2:$C$100, "خطأ في الكود"), "")</f>
        <v>Mohammed Gobran Abdali</v>
      </c>
    </row>
    <row r="46" spans="1:38">
      <c r="A46" s="18" t="s">
        <v>94</v>
      </c>
      <c r="B46" s="18">
        <v>80126088</v>
      </c>
      <c r="C46" s="18">
        <v>80126088</v>
      </c>
      <c r="D46" s="18" t="s">
        <v>18</v>
      </c>
      <c r="E46" s="18" t="s">
        <v>95</v>
      </c>
      <c r="F46" s="18" t="s">
        <v>181</v>
      </c>
      <c r="G46" s="15" t="s">
        <v>180</v>
      </c>
      <c r="H46" s="18" t="s">
        <v>176</v>
      </c>
      <c r="I46" s="19" t="s">
        <v>178</v>
      </c>
      <c r="J46" s="19" t="s">
        <v>178</v>
      </c>
      <c r="K46" s="19" t="s">
        <v>178</v>
      </c>
      <c r="L46" s="19" t="s">
        <v>178</v>
      </c>
      <c r="M46" s="18" t="s">
        <v>181</v>
      </c>
      <c r="N46" s="19" t="s">
        <v>178</v>
      </c>
      <c r="O46" s="18" t="s">
        <v>176</v>
      </c>
      <c r="P46" s="15" t="s">
        <v>180</v>
      </c>
      <c r="Q46" s="19" t="s">
        <v>178</v>
      </c>
      <c r="R46" s="19" t="s">
        <v>178</v>
      </c>
      <c r="S46" s="18" t="s">
        <v>181</v>
      </c>
      <c r="T46" s="18" t="s">
        <v>181</v>
      </c>
      <c r="U46" s="18" t="s">
        <v>181</v>
      </c>
      <c r="V46" s="18" t="s">
        <v>179</v>
      </c>
      <c r="W46" s="18" t="s">
        <v>181</v>
      </c>
      <c r="X46" s="18" t="s">
        <v>181</v>
      </c>
      <c r="Y46" s="19" t="s">
        <v>178</v>
      </c>
      <c r="Z46" s="18" t="s">
        <v>181</v>
      </c>
      <c r="AL46" t="str">
        <f>IFERROR(_xlfn.XLOOKUP(E46, Branches!$B$2:$B$100, Branches!$C$2:$C$100, "خطأ في الكود"), "")</f>
        <v>Zayed Al Subaie</v>
      </c>
    </row>
    <row r="47" spans="1:38">
      <c r="A47" s="14" t="s">
        <v>96</v>
      </c>
      <c r="B47" s="14">
        <v>80100726</v>
      </c>
      <c r="C47" s="14">
        <v>80100726</v>
      </c>
      <c r="D47" s="18" t="s">
        <v>18</v>
      </c>
      <c r="E47" s="18" t="s">
        <v>97</v>
      </c>
      <c r="F47" s="14" t="s">
        <v>184</v>
      </c>
      <c r="G47" s="19" t="s">
        <v>178</v>
      </c>
      <c r="H47" s="14" t="s">
        <v>176</v>
      </c>
      <c r="I47" s="14" t="s">
        <v>181</v>
      </c>
      <c r="J47" s="14" t="s">
        <v>181</v>
      </c>
      <c r="K47" s="19" t="s">
        <v>178</v>
      </c>
      <c r="L47" s="14" t="s">
        <v>184</v>
      </c>
      <c r="M47" s="19" t="s">
        <v>178</v>
      </c>
      <c r="N47" s="19" t="s">
        <v>178</v>
      </c>
      <c r="O47" s="14" t="s">
        <v>176</v>
      </c>
      <c r="P47" s="14" t="s">
        <v>181</v>
      </c>
      <c r="Q47" s="14" t="s">
        <v>181</v>
      </c>
      <c r="R47" s="14" t="s">
        <v>181</v>
      </c>
      <c r="S47" s="14" t="s">
        <v>181</v>
      </c>
      <c r="T47" s="14" t="s">
        <v>181</v>
      </c>
      <c r="U47" s="19" t="s">
        <v>177</v>
      </c>
      <c r="V47" s="14" t="s">
        <v>175</v>
      </c>
      <c r="W47" s="14" t="s">
        <v>176</v>
      </c>
      <c r="X47" s="14" t="s">
        <v>175</v>
      </c>
      <c r="Y47" s="19" t="s">
        <v>177</v>
      </c>
      <c r="Z47" s="19" t="s">
        <v>177</v>
      </c>
      <c r="AL47" t="str">
        <f>IFERROR(_xlfn.XLOOKUP(E47, Branches!$B$2:$B$100, Branches!$C$2:$C$100, "خطأ في الكود"), "")</f>
        <v>Zayed Al Subaie</v>
      </c>
    </row>
    <row r="48" spans="1:38">
      <c r="A48" s="18" t="s">
        <v>195</v>
      </c>
      <c r="B48" s="18">
        <v>80129412</v>
      </c>
      <c r="C48" s="18">
        <v>80129412</v>
      </c>
      <c r="D48" s="18" t="s">
        <v>27</v>
      </c>
      <c r="E48" s="18" t="s">
        <v>65</v>
      </c>
      <c r="F48" s="18" t="s">
        <v>181</v>
      </c>
      <c r="G48" s="18" t="s">
        <v>181</v>
      </c>
      <c r="H48" s="18" t="s">
        <v>176</v>
      </c>
      <c r="I48" s="18" t="s">
        <v>181</v>
      </c>
      <c r="J48" s="18" t="s">
        <v>181</v>
      </c>
      <c r="K48" s="18" t="s">
        <v>181</v>
      </c>
      <c r="L48" s="18" t="s">
        <v>181</v>
      </c>
      <c r="M48" s="18" t="s">
        <v>181</v>
      </c>
      <c r="N48" s="18" t="s">
        <v>176</v>
      </c>
      <c r="O48" s="18" t="s">
        <v>181</v>
      </c>
      <c r="P48" s="18" t="s">
        <v>181</v>
      </c>
      <c r="Q48" s="18" t="s">
        <v>181</v>
      </c>
      <c r="R48" s="18" t="s">
        <v>181</v>
      </c>
      <c r="S48" s="18" t="s">
        <v>181</v>
      </c>
      <c r="T48" s="18" t="s">
        <v>181</v>
      </c>
      <c r="U48" s="18" t="s">
        <v>181</v>
      </c>
      <c r="V48" s="18" t="s">
        <v>176</v>
      </c>
      <c r="W48" s="18" t="s">
        <v>181</v>
      </c>
      <c r="X48" s="18" t="s">
        <v>181</v>
      </c>
      <c r="Y48" s="18" t="s">
        <v>181</v>
      </c>
      <c r="Z48" s="15" t="s">
        <v>180</v>
      </c>
      <c r="AL48" t="str">
        <f>IFERROR(_xlfn.XLOOKUP(E48, Branches!$B$2:$B$100, Branches!$C$2:$C$100, "خطأ في الكود"), "")</f>
        <v>Mohammed Gobran Abdali</v>
      </c>
    </row>
    <row r="49" spans="1:38">
      <c r="A49" s="14" t="s">
        <v>98</v>
      </c>
      <c r="B49" s="14">
        <v>80117786</v>
      </c>
      <c r="C49" s="14">
        <v>80117786</v>
      </c>
      <c r="D49" s="18" t="s">
        <v>18</v>
      </c>
      <c r="E49" s="18" t="s">
        <v>99</v>
      </c>
      <c r="F49" s="14" t="s">
        <v>176</v>
      </c>
      <c r="G49" s="14" t="s">
        <v>184</v>
      </c>
      <c r="H49" s="14" t="s">
        <v>184</v>
      </c>
      <c r="I49" s="14" t="s">
        <v>184</v>
      </c>
      <c r="J49" s="14" t="s">
        <v>184</v>
      </c>
      <c r="K49" s="14" t="s">
        <v>184</v>
      </c>
      <c r="L49" s="14" t="s">
        <v>184</v>
      </c>
      <c r="M49" s="14" t="s">
        <v>184</v>
      </c>
      <c r="N49" s="14" t="s">
        <v>184</v>
      </c>
      <c r="O49" s="14" t="s">
        <v>184</v>
      </c>
      <c r="P49" s="14" t="s">
        <v>184</v>
      </c>
      <c r="Q49" s="14" t="s">
        <v>184</v>
      </c>
      <c r="R49" s="14" t="s">
        <v>184</v>
      </c>
      <c r="S49" s="14" t="s">
        <v>184</v>
      </c>
      <c r="T49" s="14" t="s">
        <v>184</v>
      </c>
      <c r="U49" s="14" t="s">
        <v>184</v>
      </c>
      <c r="V49" s="14" t="s">
        <v>184</v>
      </c>
      <c r="W49" s="14" t="s">
        <v>184</v>
      </c>
      <c r="X49" s="14" t="s">
        <v>184</v>
      </c>
      <c r="Y49" s="14" t="s">
        <v>184</v>
      </c>
      <c r="Z49" s="14" t="s">
        <v>184</v>
      </c>
      <c r="AL49" t="str">
        <f>IFERROR(_xlfn.XLOOKUP(E49, Branches!$B$2:$B$100, Branches!$C$2:$C$100, "خطأ في الكود"), "")</f>
        <v>Othman Al Sagri</v>
      </c>
    </row>
    <row r="50" spans="1:38">
      <c r="A50" s="18" t="s">
        <v>100</v>
      </c>
      <c r="B50" s="18">
        <v>80099733</v>
      </c>
      <c r="C50" s="18">
        <v>80099733</v>
      </c>
      <c r="D50" s="18" t="s">
        <v>30</v>
      </c>
      <c r="E50" s="18" t="s">
        <v>101</v>
      </c>
      <c r="F50" s="19" t="s">
        <v>178</v>
      </c>
      <c r="G50" s="18" t="s">
        <v>181</v>
      </c>
      <c r="H50" s="18" t="s">
        <v>181</v>
      </c>
      <c r="I50" s="18" t="s">
        <v>176</v>
      </c>
      <c r="J50" s="18" t="s">
        <v>181</v>
      </c>
      <c r="K50" s="19" t="s">
        <v>178</v>
      </c>
      <c r="L50" s="19" t="s">
        <v>178</v>
      </c>
      <c r="M50" s="19" t="s">
        <v>178</v>
      </c>
      <c r="N50" s="19" t="s">
        <v>178</v>
      </c>
      <c r="O50" s="15" t="s">
        <v>180</v>
      </c>
      <c r="P50" s="18" t="s">
        <v>176</v>
      </c>
      <c r="Q50" s="19" t="s">
        <v>177</v>
      </c>
      <c r="R50" s="19" t="s">
        <v>177</v>
      </c>
      <c r="S50" s="19" t="s">
        <v>177</v>
      </c>
      <c r="T50" s="15" t="s">
        <v>189</v>
      </c>
      <c r="U50" s="19" t="s">
        <v>177</v>
      </c>
      <c r="V50" s="18" t="s">
        <v>176</v>
      </c>
      <c r="W50" s="18" t="s">
        <v>181</v>
      </c>
      <c r="X50" s="18" t="s">
        <v>181</v>
      </c>
      <c r="Y50" s="18" t="s">
        <v>181</v>
      </c>
      <c r="Z50" s="19" t="s">
        <v>178</v>
      </c>
      <c r="AL50" t="str">
        <f>IFERROR(_xlfn.XLOOKUP(E50, Branches!$B$2:$B$100, Branches!$C$2:$C$100, "خطأ في الكود"), "")</f>
        <v>Abdul Rahman Mohsen Al Enzi</v>
      </c>
    </row>
    <row r="51" spans="1:38">
      <c r="A51" s="14" t="s">
        <v>102</v>
      </c>
      <c r="B51" s="14">
        <v>80117590</v>
      </c>
      <c r="C51" s="14">
        <v>80117590</v>
      </c>
      <c r="D51" s="18" t="s">
        <v>30</v>
      </c>
      <c r="E51" s="18" t="s">
        <v>103</v>
      </c>
      <c r="F51" s="14" t="s">
        <v>175</v>
      </c>
      <c r="G51" s="14" t="s">
        <v>175</v>
      </c>
      <c r="H51" s="14" t="s">
        <v>175</v>
      </c>
      <c r="I51" s="14" t="s">
        <v>179</v>
      </c>
      <c r="J51" s="14" t="s">
        <v>175</v>
      </c>
      <c r="K51" s="14" t="s">
        <v>175</v>
      </c>
      <c r="L51" s="14" t="s">
        <v>175</v>
      </c>
      <c r="M51" s="14" t="s">
        <v>175</v>
      </c>
      <c r="N51" s="19" t="s">
        <v>177</v>
      </c>
      <c r="O51" s="14" t="s">
        <v>181</v>
      </c>
      <c r="P51" s="14" t="s">
        <v>181</v>
      </c>
      <c r="Q51" s="14" t="s">
        <v>176</v>
      </c>
      <c r="R51" s="14" t="s">
        <v>175</v>
      </c>
      <c r="S51" s="14" t="s">
        <v>175</v>
      </c>
      <c r="T51" s="14" t="s">
        <v>175</v>
      </c>
      <c r="U51" s="14" t="s">
        <v>175</v>
      </c>
      <c r="V51" s="14" t="s">
        <v>181</v>
      </c>
      <c r="W51" s="14" t="s">
        <v>176</v>
      </c>
      <c r="X51" s="14" t="s">
        <v>175</v>
      </c>
      <c r="Y51" s="19" t="s">
        <v>177</v>
      </c>
      <c r="Z51" s="14" t="s">
        <v>181</v>
      </c>
      <c r="AL51" t="str">
        <f>IFERROR(_xlfn.XLOOKUP(E51, Branches!$B$2:$B$100, Branches!$C$2:$C$100, "خطأ في الكود"), "")</f>
        <v>Bandar Garziz</v>
      </c>
    </row>
    <row r="52" spans="1:38">
      <c r="A52" s="18" t="s">
        <v>196</v>
      </c>
      <c r="B52" s="18">
        <v>80104464</v>
      </c>
      <c r="C52" s="18">
        <v>80104464</v>
      </c>
      <c r="D52" s="18" t="s">
        <v>41</v>
      </c>
      <c r="E52" s="18" t="s">
        <v>53</v>
      </c>
      <c r="F52" s="19" t="s">
        <v>178</v>
      </c>
      <c r="G52" s="19" t="s">
        <v>178</v>
      </c>
      <c r="H52" s="19" t="s">
        <v>178</v>
      </c>
      <c r="I52" s="19" t="s">
        <v>178</v>
      </c>
      <c r="J52" s="15" t="s">
        <v>180</v>
      </c>
      <c r="K52" s="19" t="s">
        <v>178</v>
      </c>
      <c r="L52" s="18" t="s">
        <v>184</v>
      </c>
      <c r="M52" s="18" t="s">
        <v>184</v>
      </c>
      <c r="N52" s="18" t="s">
        <v>184</v>
      </c>
      <c r="O52" s="18" t="s">
        <v>184</v>
      </c>
      <c r="P52" s="18" t="s">
        <v>184</v>
      </c>
      <c r="Q52" s="18" t="s">
        <v>184</v>
      </c>
      <c r="R52" s="18" t="s">
        <v>184</v>
      </c>
      <c r="S52" s="18" t="s">
        <v>184</v>
      </c>
      <c r="T52" s="18" t="s">
        <v>184</v>
      </c>
      <c r="U52" s="18" t="s">
        <v>184</v>
      </c>
      <c r="V52" s="19" t="s">
        <v>178</v>
      </c>
      <c r="W52" s="18" t="s">
        <v>181</v>
      </c>
      <c r="X52" s="18" t="s">
        <v>176</v>
      </c>
      <c r="Y52" s="18" t="s">
        <v>181</v>
      </c>
      <c r="Z52" s="18" t="s">
        <v>181</v>
      </c>
      <c r="AL52" t="str">
        <f>IFERROR(_xlfn.XLOOKUP(E52, Branches!$B$2:$B$100, Branches!$C$2:$C$100, "خطأ في الكود"), "")</f>
        <v>Mohammed Al - Gahtani</v>
      </c>
    </row>
    <row r="53" spans="1:38">
      <c r="A53" s="14" t="s">
        <v>197</v>
      </c>
      <c r="B53" s="14">
        <v>80122833</v>
      </c>
      <c r="C53" s="14">
        <v>80122833</v>
      </c>
      <c r="D53" s="18" t="s">
        <v>30</v>
      </c>
      <c r="E53" s="18" t="s">
        <v>37</v>
      </c>
      <c r="F53" s="14" t="s">
        <v>175</v>
      </c>
      <c r="G53" s="14" t="s">
        <v>175</v>
      </c>
      <c r="H53" s="19" t="s">
        <v>177</v>
      </c>
      <c r="I53" s="19" t="s">
        <v>178</v>
      </c>
      <c r="J53" s="14" t="s">
        <v>176</v>
      </c>
      <c r="K53" s="14" t="s">
        <v>184</v>
      </c>
      <c r="L53" s="14" t="s">
        <v>184</v>
      </c>
      <c r="M53" s="14" t="s">
        <v>184</v>
      </c>
      <c r="N53" s="14" t="s">
        <v>184</v>
      </c>
      <c r="O53" s="14" t="s">
        <v>182</v>
      </c>
      <c r="P53" s="19" t="s">
        <v>178</v>
      </c>
      <c r="Q53" s="14" t="s">
        <v>176</v>
      </c>
      <c r="R53" s="14" t="s">
        <v>175</v>
      </c>
      <c r="S53" s="14" t="s">
        <v>181</v>
      </c>
      <c r="T53" s="19" t="s">
        <v>177</v>
      </c>
      <c r="U53" s="19" t="s">
        <v>178</v>
      </c>
      <c r="V53" s="19" t="s">
        <v>178</v>
      </c>
      <c r="W53" s="19" t="s">
        <v>178</v>
      </c>
      <c r="X53" s="14" t="s">
        <v>176</v>
      </c>
      <c r="Y53" s="19" t="s">
        <v>178</v>
      </c>
      <c r="Z53" s="19" t="s">
        <v>178</v>
      </c>
      <c r="AL53" t="str">
        <f>IFERROR(_xlfn.XLOOKUP(E53, Branches!$B$2:$B$100, Branches!$C$2:$C$100, "خطأ في الكود"), "")</f>
        <v>Abdul Rahman Mohsen Al Enzi</v>
      </c>
    </row>
    <row r="54" spans="1:38">
      <c r="A54" s="18" t="s">
        <v>198</v>
      </c>
      <c r="B54" s="18">
        <v>80127931</v>
      </c>
      <c r="C54" s="18">
        <v>80127931</v>
      </c>
      <c r="D54" s="18" t="s">
        <v>46</v>
      </c>
      <c r="E54" s="18" t="s">
        <v>83</v>
      </c>
      <c r="F54" s="18" t="s">
        <v>175</v>
      </c>
      <c r="G54" s="18" t="s">
        <v>175</v>
      </c>
      <c r="H54" s="18" t="s">
        <v>175</v>
      </c>
      <c r="I54" s="18" t="s">
        <v>176</v>
      </c>
      <c r="J54" s="19" t="s">
        <v>177</v>
      </c>
      <c r="K54" s="18" t="s">
        <v>175</v>
      </c>
      <c r="L54" s="18" t="s">
        <v>175</v>
      </c>
      <c r="M54" s="18" t="s">
        <v>175</v>
      </c>
      <c r="N54" s="18" t="s">
        <v>184</v>
      </c>
      <c r="O54" s="18" t="s">
        <v>175</v>
      </c>
      <c r="P54" s="18" t="s">
        <v>176</v>
      </c>
      <c r="Q54" s="19" t="s">
        <v>177</v>
      </c>
      <c r="R54" s="18" t="s">
        <v>181</v>
      </c>
      <c r="S54" s="18" t="s">
        <v>181</v>
      </c>
      <c r="T54" s="18" t="s">
        <v>181</v>
      </c>
      <c r="U54" s="18" t="s">
        <v>181</v>
      </c>
      <c r="V54" s="18" t="s">
        <v>175</v>
      </c>
      <c r="W54" s="18" t="s">
        <v>176</v>
      </c>
      <c r="X54" s="19" t="s">
        <v>177</v>
      </c>
      <c r="Y54" s="18" t="s">
        <v>175</v>
      </c>
      <c r="Z54" s="18" t="s">
        <v>175</v>
      </c>
      <c r="AL54" t="str">
        <f>IFERROR(_xlfn.XLOOKUP(E54, Branches!$B$2:$B$100, Branches!$C$2:$C$100, "خطأ في الكود"), "")</f>
        <v>Musab Hakami</v>
      </c>
    </row>
    <row r="55" spans="1:38">
      <c r="A55" s="14" t="s">
        <v>199</v>
      </c>
      <c r="B55" s="14">
        <v>80121644</v>
      </c>
      <c r="C55" s="14">
        <v>80121644</v>
      </c>
      <c r="D55" s="18" t="s">
        <v>18</v>
      </c>
      <c r="E55" s="18" t="s">
        <v>89</v>
      </c>
      <c r="F55" s="14" t="s">
        <v>181</v>
      </c>
      <c r="G55" s="14" t="s">
        <v>181</v>
      </c>
      <c r="H55" s="14" t="s">
        <v>184</v>
      </c>
      <c r="I55" s="14" t="s">
        <v>176</v>
      </c>
      <c r="J55" s="14" t="s">
        <v>181</v>
      </c>
      <c r="K55" s="14" t="s">
        <v>184</v>
      </c>
      <c r="L55" s="14" t="s">
        <v>181</v>
      </c>
      <c r="M55" s="14" t="s">
        <v>184</v>
      </c>
      <c r="N55" s="14" t="s">
        <v>181</v>
      </c>
      <c r="O55" s="15" t="s">
        <v>180</v>
      </c>
      <c r="P55" s="14" t="s">
        <v>176</v>
      </c>
      <c r="Q55" s="14" t="s">
        <v>181</v>
      </c>
      <c r="R55" s="14" t="s">
        <v>181</v>
      </c>
      <c r="S55" s="14" t="s">
        <v>181</v>
      </c>
      <c r="T55" s="14" t="s">
        <v>184</v>
      </c>
      <c r="U55" s="19" t="s">
        <v>178</v>
      </c>
      <c r="V55" s="14" t="s">
        <v>181</v>
      </c>
      <c r="W55" s="14" t="s">
        <v>176</v>
      </c>
      <c r="X55" s="14" t="s">
        <v>181</v>
      </c>
      <c r="Y55" s="14" t="s">
        <v>181</v>
      </c>
      <c r="Z55" s="19" t="s">
        <v>178</v>
      </c>
      <c r="AL55" t="str">
        <f>IFERROR(_xlfn.XLOOKUP(E55, Branches!$B$2:$B$100, Branches!$C$2:$C$100, "خطأ في الكود"), "")</f>
        <v>Zayed Al Subaie</v>
      </c>
    </row>
    <row r="56" spans="1:38">
      <c r="A56" s="18" t="s">
        <v>200</v>
      </c>
      <c r="B56" s="18">
        <v>80114106</v>
      </c>
      <c r="C56" s="18">
        <v>80114106</v>
      </c>
      <c r="D56" s="18" t="s">
        <v>46</v>
      </c>
      <c r="E56" s="18" t="s">
        <v>83</v>
      </c>
      <c r="F56" s="18" t="s">
        <v>181</v>
      </c>
      <c r="G56" s="18" t="s">
        <v>181</v>
      </c>
      <c r="H56" s="18" t="s">
        <v>181</v>
      </c>
      <c r="I56" s="18" t="s">
        <v>181</v>
      </c>
      <c r="J56" s="18" t="s">
        <v>176</v>
      </c>
      <c r="K56" s="18" t="s">
        <v>181</v>
      </c>
      <c r="L56" s="18" t="s">
        <v>181</v>
      </c>
      <c r="M56" s="18" t="s">
        <v>181</v>
      </c>
      <c r="N56" s="19" t="s">
        <v>178</v>
      </c>
      <c r="O56" s="18" t="s">
        <v>181</v>
      </c>
      <c r="P56" s="18" t="s">
        <v>181</v>
      </c>
      <c r="Q56" s="18" t="s">
        <v>176</v>
      </c>
      <c r="R56" s="18" t="s">
        <v>181</v>
      </c>
      <c r="S56" s="19" t="s">
        <v>178</v>
      </c>
      <c r="T56" s="18" t="s">
        <v>181</v>
      </c>
      <c r="U56" s="18" t="s">
        <v>184</v>
      </c>
      <c r="V56" s="18" t="s">
        <v>184</v>
      </c>
      <c r="W56" s="18" t="s">
        <v>184</v>
      </c>
      <c r="X56" s="18" t="s">
        <v>179</v>
      </c>
      <c r="Y56" s="18" t="s">
        <v>175</v>
      </c>
      <c r="Z56" s="19" t="s">
        <v>177</v>
      </c>
      <c r="AL56" t="str">
        <f>IFERROR(_xlfn.XLOOKUP(E56, Branches!$B$2:$B$100, Branches!$C$2:$C$100, "خطأ في الكود"), "")</f>
        <v>Musab Hakami</v>
      </c>
    </row>
    <row r="57" spans="1:38">
      <c r="A57" s="14" t="s">
        <v>201</v>
      </c>
      <c r="B57" s="14">
        <v>80112217</v>
      </c>
      <c r="C57" s="14">
        <v>80112217</v>
      </c>
      <c r="D57" s="18" t="s">
        <v>30</v>
      </c>
      <c r="E57" s="18" t="s">
        <v>61</v>
      </c>
      <c r="F57" s="14" t="s">
        <v>181</v>
      </c>
      <c r="G57" s="14" t="s">
        <v>181</v>
      </c>
      <c r="H57" s="14" t="s">
        <v>181</v>
      </c>
      <c r="I57" s="14" t="s">
        <v>176</v>
      </c>
      <c r="J57" s="14" t="s">
        <v>181</v>
      </c>
      <c r="K57" s="14" t="s">
        <v>181</v>
      </c>
      <c r="L57" s="14" t="s">
        <v>181</v>
      </c>
      <c r="M57" s="14" t="s">
        <v>181</v>
      </c>
      <c r="N57" s="14" t="s">
        <v>181</v>
      </c>
      <c r="O57" s="15" t="s">
        <v>180</v>
      </c>
      <c r="P57" s="14" t="s">
        <v>176</v>
      </c>
      <c r="Q57" s="14" t="s">
        <v>181</v>
      </c>
      <c r="R57" s="14" t="s">
        <v>181</v>
      </c>
      <c r="S57" s="19" t="s">
        <v>178</v>
      </c>
      <c r="T57" s="14" t="s">
        <v>205</v>
      </c>
      <c r="U57" s="14" t="s">
        <v>181</v>
      </c>
      <c r="V57" s="14" t="s">
        <v>181</v>
      </c>
      <c r="W57" s="14" t="s">
        <v>176</v>
      </c>
      <c r="X57" s="14" t="s">
        <v>181</v>
      </c>
      <c r="Y57" s="14" t="s">
        <v>181</v>
      </c>
      <c r="Z57" s="14" t="s">
        <v>181</v>
      </c>
      <c r="AL57" t="str">
        <f>IFERROR(_xlfn.XLOOKUP(E57, Branches!$B$2:$B$100, Branches!$C$2:$C$100, "خطأ في الكود"), "")</f>
        <v>Abdul Rahman Mohsen Al Enzi</v>
      </c>
    </row>
    <row r="58" spans="1:38">
      <c r="A58" s="18" t="s">
        <v>104</v>
      </c>
      <c r="B58" s="18">
        <v>80112177</v>
      </c>
      <c r="C58" s="18">
        <v>80112177</v>
      </c>
      <c r="D58" s="18" t="s">
        <v>30</v>
      </c>
      <c r="E58" s="18" t="s">
        <v>105</v>
      </c>
      <c r="F58" s="19" t="s">
        <v>178</v>
      </c>
      <c r="G58" s="19" t="s">
        <v>178</v>
      </c>
      <c r="H58" s="19" t="s">
        <v>178</v>
      </c>
      <c r="I58" s="18" t="s">
        <v>176</v>
      </c>
      <c r="J58" s="19" t="s">
        <v>178</v>
      </c>
      <c r="K58" s="19" t="s">
        <v>178</v>
      </c>
      <c r="L58" s="19" t="s">
        <v>178</v>
      </c>
      <c r="M58" s="19" t="s">
        <v>178</v>
      </c>
      <c r="N58" s="19" t="s">
        <v>178</v>
      </c>
      <c r="O58" s="18" t="s">
        <v>181</v>
      </c>
      <c r="P58" s="18" t="s">
        <v>176</v>
      </c>
      <c r="Q58" s="19" t="s">
        <v>178</v>
      </c>
      <c r="R58" s="19" t="s">
        <v>178</v>
      </c>
      <c r="S58" s="18" t="s">
        <v>181</v>
      </c>
      <c r="T58" s="19" t="s">
        <v>178</v>
      </c>
      <c r="U58" s="19" t="s">
        <v>178</v>
      </c>
      <c r="V58" s="19" t="s">
        <v>178</v>
      </c>
      <c r="W58" s="19" t="s">
        <v>178</v>
      </c>
      <c r="X58" s="18" t="s">
        <v>176</v>
      </c>
      <c r="Y58" s="18" t="s">
        <v>181</v>
      </c>
      <c r="Z58" s="18" t="s">
        <v>181</v>
      </c>
      <c r="AL58" t="str">
        <f>IFERROR(_xlfn.XLOOKUP(E58, Branches!$B$2:$B$100, Branches!$C$2:$C$100, "خطأ في الكود"), "")</f>
        <v>Bandar Garziz</v>
      </c>
    </row>
    <row r="59" spans="1:38">
      <c r="A59" s="14" t="s">
        <v>202</v>
      </c>
      <c r="B59" s="14">
        <v>80074513</v>
      </c>
      <c r="C59" s="14">
        <v>80074513</v>
      </c>
      <c r="D59" s="18" t="s">
        <v>18</v>
      </c>
      <c r="E59" s="18" t="s">
        <v>51</v>
      </c>
      <c r="F59" s="14" t="s">
        <v>182</v>
      </c>
      <c r="G59" s="14" t="s">
        <v>182</v>
      </c>
      <c r="H59" s="14" t="s">
        <v>181</v>
      </c>
      <c r="I59" s="14" t="s">
        <v>182</v>
      </c>
      <c r="J59" s="14" t="s">
        <v>176</v>
      </c>
      <c r="K59" s="14" t="s">
        <v>181</v>
      </c>
      <c r="L59" s="14" t="s">
        <v>181</v>
      </c>
      <c r="M59" s="14" t="s">
        <v>181</v>
      </c>
      <c r="N59" s="14" t="s">
        <v>181</v>
      </c>
      <c r="O59" s="14" t="s">
        <v>176</v>
      </c>
      <c r="P59" s="14" t="s">
        <v>181</v>
      </c>
      <c r="Q59" s="14" t="s">
        <v>181</v>
      </c>
      <c r="R59" s="14" t="s">
        <v>181</v>
      </c>
      <c r="S59" s="14" t="s">
        <v>181</v>
      </c>
      <c r="T59" s="14" t="s">
        <v>181</v>
      </c>
      <c r="U59" s="14" t="s">
        <v>176</v>
      </c>
      <c r="V59" s="19" t="s">
        <v>178</v>
      </c>
      <c r="W59" s="14" t="s">
        <v>181</v>
      </c>
      <c r="X59" s="14" t="s">
        <v>181</v>
      </c>
      <c r="Y59" s="14" t="s">
        <v>176</v>
      </c>
      <c r="Z59" s="19" t="s">
        <v>178</v>
      </c>
      <c r="AL59" t="str">
        <f>IFERROR(_xlfn.XLOOKUP(E59, Branches!$B$2:$B$100, Branches!$C$2:$C$100, "خطأ في الكود"), "")</f>
        <v>Othman Al Sagri</v>
      </c>
    </row>
    <row r="60" spans="1:38">
      <c r="A60" s="18" t="s">
        <v>203</v>
      </c>
      <c r="B60" s="18">
        <v>80129410</v>
      </c>
      <c r="C60" s="18">
        <v>80129410</v>
      </c>
      <c r="D60" s="18" t="s">
        <v>27</v>
      </c>
      <c r="E60" s="18" t="s">
        <v>93</v>
      </c>
      <c r="F60" s="18" t="s">
        <v>181</v>
      </c>
      <c r="G60" s="18" t="s">
        <v>181</v>
      </c>
      <c r="H60" s="18" t="s">
        <v>192</v>
      </c>
      <c r="I60" s="18" t="s">
        <v>179</v>
      </c>
      <c r="J60" s="19" t="s">
        <v>178</v>
      </c>
      <c r="K60" s="18" t="s">
        <v>181</v>
      </c>
      <c r="L60" s="18" t="s">
        <v>181</v>
      </c>
      <c r="M60" s="18" t="s">
        <v>181</v>
      </c>
      <c r="N60" s="18" t="s">
        <v>181</v>
      </c>
      <c r="O60" s="18" t="s">
        <v>176</v>
      </c>
      <c r="P60" s="18" t="s">
        <v>181</v>
      </c>
      <c r="Q60" s="18" t="s">
        <v>181</v>
      </c>
      <c r="R60" s="18" t="s">
        <v>181</v>
      </c>
      <c r="S60" s="18" t="s">
        <v>181</v>
      </c>
      <c r="T60" s="18" t="s">
        <v>181</v>
      </c>
      <c r="U60" s="18" t="s">
        <v>181</v>
      </c>
      <c r="V60" s="19" t="s">
        <v>178</v>
      </c>
      <c r="W60" s="18" t="s">
        <v>176</v>
      </c>
      <c r="X60" s="19" t="s">
        <v>177</v>
      </c>
      <c r="Y60" s="18" t="s">
        <v>175</v>
      </c>
      <c r="Z60" s="15" t="s">
        <v>189</v>
      </c>
      <c r="AL60" t="str">
        <f>IFERROR(_xlfn.XLOOKUP(E60, Branches!$B$2:$B$100, Branches!$C$2:$C$100, "خطأ في الكود"), "")</f>
        <v>Mohammed Gobran Abdali</v>
      </c>
    </row>
    <row r="61" spans="1:38">
      <c r="A61" s="14" t="s">
        <v>204</v>
      </c>
      <c r="B61" s="14">
        <v>80122894</v>
      </c>
      <c r="C61" s="14">
        <v>80122894</v>
      </c>
      <c r="D61" s="18" t="s">
        <v>30</v>
      </c>
      <c r="E61" s="18" t="s">
        <v>28</v>
      </c>
      <c r="F61" s="14" t="s">
        <v>181</v>
      </c>
      <c r="G61" s="14" t="s">
        <v>181</v>
      </c>
      <c r="H61" s="19" t="s">
        <v>177</v>
      </c>
      <c r="I61" s="14" t="s">
        <v>176</v>
      </c>
      <c r="J61" s="14" t="s">
        <v>181</v>
      </c>
      <c r="K61" s="14" t="s">
        <v>181</v>
      </c>
      <c r="L61" s="14" t="s">
        <v>181</v>
      </c>
      <c r="M61" s="14" t="s">
        <v>181</v>
      </c>
      <c r="N61" s="14" t="s">
        <v>181</v>
      </c>
      <c r="O61" s="14" t="s">
        <v>175</v>
      </c>
      <c r="P61" s="14" t="s">
        <v>176</v>
      </c>
      <c r="Q61" s="14" t="s">
        <v>181</v>
      </c>
      <c r="R61" s="14" t="s">
        <v>181</v>
      </c>
      <c r="S61" s="14" t="s">
        <v>181</v>
      </c>
      <c r="T61" s="14" t="s">
        <v>181</v>
      </c>
      <c r="U61" s="14" t="s">
        <v>181</v>
      </c>
      <c r="V61" s="14" t="s">
        <v>175</v>
      </c>
      <c r="W61" s="14" t="s">
        <v>176</v>
      </c>
      <c r="X61" s="14" t="s">
        <v>181</v>
      </c>
      <c r="Y61" s="14" t="s">
        <v>181</v>
      </c>
      <c r="Z61" s="14" t="s">
        <v>181</v>
      </c>
      <c r="AL61" t="str">
        <f>IFERROR(_xlfn.XLOOKUP(E61, Branches!$B$2:$B$100, Branches!$C$2:$C$100, "خطأ في الكود"), "")</f>
        <v>Mohammed Gobran Abdali</v>
      </c>
    </row>
    <row r="62" spans="1:38">
      <c r="A62" s="18" t="s">
        <v>106</v>
      </c>
      <c r="B62" s="18">
        <v>80126589</v>
      </c>
      <c r="C62" s="18">
        <v>80126589</v>
      </c>
      <c r="D62" s="18" t="s">
        <v>41</v>
      </c>
      <c r="E62" s="18" t="s">
        <v>107</v>
      </c>
      <c r="F62" s="19" t="s">
        <v>177</v>
      </c>
      <c r="G62" s="18" t="s">
        <v>205</v>
      </c>
      <c r="H62" s="18" t="s">
        <v>205</v>
      </c>
      <c r="I62" s="18" t="s">
        <v>181</v>
      </c>
      <c r="J62" s="18" t="s">
        <v>176</v>
      </c>
      <c r="K62" s="19" t="s">
        <v>178</v>
      </c>
      <c r="L62" s="19" t="s">
        <v>178</v>
      </c>
      <c r="M62" s="19" t="s">
        <v>178</v>
      </c>
      <c r="N62" s="19" t="s">
        <v>178</v>
      </c>
      <c r="O62" s="18" t="s">
        <v>181</v>
      </c>
      <c r="P62" s="18" t="s">
        <v>181</v>
      </c>
      <c r="Q62" s="18" t="s">
        <v>179</v>
      </c>
      <c r="R62" s="19" t="s">
        <v>177</v>
      </c>
      <c r="S62" s="18" t="s">
        <v>175</v>
      </c>
      <c r="T62" s="19" t="s">
        <v>177</v>
      </c>
      <c r="U62" s="19" t="s">
        <v>177</v>
      </c>
      <c r="V62" s="19" t="s">
        <v>178</v>
      </c>
      <c r="W62" s="18" t="s">
        <v>181</v>
      </c>
      <c r="X62" s="18" t="s">
        <v>176</v>
      </c>
      <c r="Y62" s="19" t="s">
        <v>178</v>
      </c>
      <c r="Z62" s="19" t="s">
        <v>178</v>
      </c>
      <c r="AL62" t="str">
        <f>IFERROR(_xlfn.XLOOKUP(E62, Branches!$B$2:$B$100, Branches!$C$2:$C$100, "خطأ في الكود"), "")</f>
        <v>Mohammed Al - Gahtani</v>
      </c>
    </row>
    <row r="63" spans="1:38">
      <c r="A63" s="14" t="s">
        <v>108</v>
      </c>
      <c r="B63" s="14">
        <v>80127861</v>
      </c>
      <c r="C63" s="14">
        <v>80127861</v>
      </c>
      <c r="D63" s="18" t="s">
        <v>18</v>
      </c>
      <c r="E63" s="18" t="s">
        <v>109</v>
      </c>
      <c r="F63" s="19" t="s">
        <v>177</v>
      </c>
      <c r="G63" s="14" t="s">
        <v>184</v>
      </c>
      <c r="H63" s="14" t="s">
        <v>175</v>
      </c>
      <c r="I63" s="14" t="s">
        <v>176</v>
      </c>
      <c r="J63" s="14" t="s">
        <v>175</v>
      </c>
      <c r="K63" s="14" t="s">
        <v>175</v>
      </c>
      <c r="L63" s="19" t="s">
        <v>177</v>
      </c>
      <c r="M63" s="14" t="s">
        <v>175</v>
      </c>
      <c r="N63" s="19" t="s">
        <v>177</v>
      </c>
      <c r="O63" s="14" t="s">
        <v>175</v>
      </c>
      <c r="P63" s="14" t="s">
        <v>176</v>
      </c>
      <c r="Q63" s="14" t="s">
        <v>175</v>
      </c>
      <c r="R63" s="14" t="s">
        <v>184</v>
      </c>
      <c r="S63" s="14" t="s">
        <v>175</v>
      </c>
      <c r="T63" s="14" t="s">
        <v>175</v>
      </c>
      <c r="U63" s="19" t="s">
        <v>177</v>
      </c>
      <c r="V63" s="14" t="s">
        <v>184</v>
      </c>
      <c r="W63" s="14" t="s">
        <v>176</v>
      </c>
      <c r="X63" s="19" t="s">
        <v>177</v>
      </c>
      <c r="Y63" s="14" t="s">
        <v>205</v>
      </c>
      <c r="Z63" s="14" t="s">
        <v>175</v>
      </c>
      <c r="AL63" t="str">
        <f>IFERROR(_xlfn.XLOOKUP(E63, Branches!$B$2:$B$100, Branches!$C$2:$C$100, "خطأ في الكود"), "")</f>
        <v>Zayed Al Subaie</v>
      </c>
    </row>
    <row r="64" spans="1:38">
      <c r="A64" s="18" t="s">
        <v>110</v>
      </c>
      <c r="B64" s="18">
        <v>80114062</v>
      </c>
      <c r="C64" s="18">
        <v>80114062</v>
      </c>
      <c r="D64" s="18" t="s">
        <v>27</v>
      </c>
      <c r="E64" s="18" t="s">
        <v>111</v>
      </c>
      <c r="F64" s="18" t="s">
        <v>175</v>
      </c>
      <c r="G64" s="18" t="s">
        <v>175</v>
      </c>
      <c r="H64" s="18" t="s">
        <v>175</v>
      </c>
      <c r="I64" s="18" t="s">
        <v>176</v>
      </c>
      <c r="J64" s="18" t="s">
        <v>181</v>
      </c>
      <c r="K64" s="18" t="s">
        <v>181</v>
      </c>
      <c r="L64" s="18" t="s">
        <v>181</v>
      </c>
      <c r="M64" s="18" t="s">
        <v>181</v>
      </c>
      <c r="N64" s="18" t="s">
        <v>181</v>
      </c>
      <c r="O64" s="18" t="s">
        <v>181</v>
      </c>
      <c r="P64" s="18" t="s">
        <v>176</v>
      </c>
      <c r="Q64" s="18" t="s">
        <v>175</v>
      </c>
      <c r="R64" s="18" t="s">
        <v>175</v>
      </c>
      <c r="S64" s="18" t="s">
        <v>175</v>
      </c>
      <c r="T64" s="18" t="s">
        <v>175</v>
      </c>
      <c r="U64" s="18" t="s">
        <v>175</v>
      </c>
      <c r="V64" s="18" t="s">
        <v>175</v>
      </c>
      <c r="W64" s="18" t="s">
        <v>176</v>
      </c>
      <c r="X64" s="18" t="s">
        <v>181</v>
      </c>
      <c r="Y64" s="18" t="s">
        <v>181</v>
      </c>
      <c r="Z64" s="18" t="s">
        <v>181</v>
      </c>
      <c r="AL64" t="str">
        <f>IFERROR(_xlfn.XLOOKUP(E64, Branches!$B$2:$B$100, Branches!$C$2:$C$100, "خطأ في الكود"), "")</f>
        <v>Mohammed Gobran Abdali</v>
      </c>
    </row>
    <row r="65" spans="1:38">
      <c r="A65" s="14" t="s">
        <v>206</v>
      </c>
      <c r="B65" s="14">
        <v>80128315</v>
      </c>
      <c r="C65" s="14">
        <v>80128315</v>
      </c>
      <c r="D65" s="18" t="s">
        <v>27</v>
      </c>
      <c r="E65" s="18" t="s">
        <v>79</v>
      </c>
      <c r="F65" s="14" t="s">
        <v>181</v>
      </c>
      <c r="G65" s="14" t="s">
        <v>181</v>
      </c>
      <c r="H65" s="14" t="s">
        <v>181</v>
      </c>
      <c r="I65" s="14" t="s">
        <v>181</v>
      </c>
      <c r="J65" s="14" t="s">
        <v>176</v>
      </c>
      <c r="K65" s="14" t="s">
        <v>181</v>
      </c>
      <c r="L65" s="14" t="s">
        <v>181</v>
      </c>
      <c r="M65" s="14" t="s">
        <v>181</v>
      </c>
      <c r="N65" s="14" t="s">
        <v>181</v>
      </c>
      <c r="O65" s="14" t="s">
        <v>181</v>
      </c>
      <c r="P65" s="14" t="s">
        <v>176</v>
      </c>
      <c r="Q65" s="19" t="s">
        <v>177</v>
      </c>
      <c r="R65" s="14" t="s">
        <v>181</v>
      </c>
      <c r="S65" s="14" t="s">
        <v>181</v>
      </c>
      <c r="T65" s="14" t="s">
        <v>181</v>
      </c>
      <c r="U65" s="14" t="s">
        <v>181</v>
      </c>
      <c r="V65" s="14" t="s">
        <v>181</v>
      </c>
      <c r="W65" s="14" t="s">
        <v>176</v>
      </c>
      <c r="X65" s="14" t="s">
        <v>175</v>
      </c>
      <c r="Y65" s="19" t="s">
        <v>178</v>
      </c>
      <c r="Z65" s="14" t="s">
        <v>181</v>
      </c>
      <c r="AL65" t="str">
        <f>IFERROR(_xlfn.XLOOKUP(E65, Branches!$B$2:$B$100, Branches!$C$2:$C$100, "خطأ في الكود"), "")</f>
        <v>Mohammed Gobran Abdali</v>
      </c>
    </row>
    <row r="66" spans="1:38">
      <c r="A66" s="18" t="s">
        <v>207</v>
      </c>
      <c r="B66" s="18">
        <v>80072701</v>
      </c>
      <c r="C66" s="18">
        <v>80072701</v>
      </c>
      <c r="D66" s="18" t="s">
        <v>18</v>
      </c>
      <c r="E66" s="18" t="s">
        <v>44</v>
      </c>
      <c r="F66" s="18" t="s">
        <v>175</v>
      </c>
      <c r="G66" s="18" t="s">
        <v>175</v>
      </c>
      <c r="H66" s="18" t="s">
        <v>175</v>
      </c>
      <c r="I66" s="18" t="s">
        <v>181</v>
      </c>
      <c r="J66" s="18" t="s">
        <v>176</v>
      </c>
      <c r="K66" s="18" t="s">
        <v>175</v>
      </c>
      <c r="L66" s="18" t="s">
        <v>175</v>
      </c>
      <c r="M66" s="18" t="s">
        <v>175</v>
      </c>
      <c r="N66" s="18" t="s">
        <v>175</v>
      </c>
      <c r="O66" s="18" t="s">
        <v>175</v>
      </c>
      <c r="P66" s="18" t="s">
        <v>176</v>
      </c>
      <c r="Q66" s="18" t="s">
        <v>175</v>
      </c>
      <c r="R66" s="18" t="s">
        <v>175</v>
      </c>
      <c r="S66" s="18" t="s">
        <v>175</v>
      </c>
      <c r="T66" s="18" t="s">
        <v>175</v>
      </c>
      <c r="U66" s="18" t="s">
        <v>175</v>
      </c>
      <c r="V66" s="18" t="s">
        <v>175</v>
      </c>
      <c r="W66" s="18" t="s">
        <v>176</v>
      </c>
      <c r="X66" s="18" t="s">
        <v>181</v>
      </c>
      <c r="Y66" s="18" t="s">
        <v>175</v>
      </c>
      <c r="Z66" s="18" t="s">
        <v>175</v>
      </c>
      <c r="AL66" t="str">
        <f>IFERROR(_xlfn.XLOOKUP(E66, Branches!$B$2:$B$100, Branches!$C$2:$C$100, "خطأ في الكود"), "")</f>
        <v>Zayed Al Subaie</v>
      </c>
    </row>
    <row r="67" spans="1:38">
      <c r="A67" s="14" t="s">
        <v>208</v>
      </c>
      <c r="B67" s="14">
        <v>80129761</v>
      </c>
      <c r="C67" s="14">
        <v>80129761</v>
      </c>
      <c r="D67" s="18" t="s">
        <v>18</v>
      </c>
      <c r="E67" s="18" t="s">
        <v>87</v>
      </c>
      <c r="F67" s="14" t="s">
        <v>184</v>
      </c>
      <c r="G67" s="14" t="s">
        <v>184</v>
      </c>
      <c r="H67" s="14" t="s">
        <v>184</v>
      </c>
      <c r="I67" s="14" t="s">
        <v>184</v>
      </c>
      <c r="J67" s="14" t="s">
        <v>184</v>
      </c>
      <c r="K67" s="14" t="s">
        <v>184</v>
      </c>
      <c r="L67" s="14" t="s">
        <v>184</v>
      </c>
      <c r="M67" s="14" t="s">
        <v>184</v>
      </c>
      <c r="N67" s="14" t="s">
        <v>184</v>
      </c>
      <c r="O67" s="15" t="s">
        <v>180</v>
      </c>
      <c r="P67" s="14" t="s">
        <v>176</v>
      </c>
      <c r="Q67" s="14" t="s">
        <v>181</v>
      </c>
      <c r="R67" s="14" t="s">
        <v>181</v>
      </c>
      <c r="S67" s="19" t="s">
        <v>178</v>
      </c>
      <c r="T67" s="14" t="s">
        <v>181</v>
      </c>
      <c r="U67" s="14" t="s">
        <v>181</v>
      </c>
      <c r="V67" s="14" t="s">
        <v>181</v>
      </c>
      <c r="W67" s="14" t="s">
        <v>181</v>
      </c>
      <c r="X67" s="14" t="s">
        <v>176</v>
      </c>
      <c r="Y67" s="14" t="s">
        <v>181</v>
      </c>
      <c r="Z67" s="14" t="s">
        <v>181</v>
      </c>
      <c r="AL67" t="str">
        <f>IFERROR(_xlfn.XLOOKUP(E67, Branches!$B$2:$B$100, Branches!$C$2:$C$100, "خطأ في الكود"), "")</f>
        <v>Zayed Al Subaie</v>
      </c>
    </row>
    <row r="68" spans="1:38">
      <c r="A68" s="18" t="s">
        <v>112</v>
      </c>
      <c r="B68" s="18">
        <v>80094859</v>
      </c>
      <c r="C68" s="18">
        <v>80094859</v>
      </c>
      <c r="D68" s="18" t="s">
        <v>18</v>
      </c>
      <c r="E68" s="18" t="s">
        <v>113</v>
      </c>
      <c r="F68" s="18" t="s">
        <v>175</v>
      </c>
      <c r="G68" s="18" t="s">
        <v>175</v>
      </c>
      <c r="H68" s="18" t="s">
        <v>175</v>
      </c>
      <c r="I68" s="18" t="s">
        <v>176</v>
      </c>
      <c r="J68" s="18" t="s">
        <v>175</v>
      </c>
      <c r="K68" s="18" t="s">
        <v>175</v>
      </c>
      <c r="L68" s="18" t="s">
        <v>175</v>
      </c>
      <c r="M68" s="18" t="s">
        <v>175</v>
      </c>
      <c r="N68" s="19" t="s">
        <v>177</v>
      </c>
      <c r="O68" s="18" t="s">
        <v>175</v>
      </c>
      <c r="P68" s="18" t="s">
        <v>176</v>
      </c>
      <c r="Q68" s="18" t="s">
        <v>175</v>
      </c>
      <c r="R68" s="18" t="s">
        <v>175</v>
      </c>
      <c r="S68" s="18" t="s">
        <v>175</v>
      </c>
      <c r="T68" s="18" t="s">
        <v>175</v>
      </c>
      <c r="U68" s="18" t="s">
        <v>175</v>
      </c>
      <c r="V68" s="18" t="s">
        <v>175</v>
      </c>
      <c r="W68" s="18" t="s">
        <v>176</v>
      </c>
      <c r="X68" s="18" t="s">
        <v>175</v>
      </c>
      <c r="Y68" s="18" t="s">
        <v>175</v>
      </c>
      <c r="Z68" s="18" t="s">
        <v>175</v>
      </c>
      <c r="AL68" t="str">
        <f>IFERROR(_xlfn.XLOOKUP(E68, Branches!$B$2:$B$100, Branches!$C$2:$C$100, "خطأ في الكود"), "")</f>
        <v>Zayed Al Subaie</v>
      </c>
    </row>
    <row r="69" spans="1:38">
      <c r="A69" s="14" t="s">
        <v>441</v>
      </c>
      <c r="B69" s="14">
        <v>80130117</v>
      </c>
      <c r="C69" s="14">
        <v>80130117</v>
      </c>
      <c r="D69" s="18" t="e">
        <v>#N/A</v>
      </c>
      <c r="E69" s="18" t="e">
        <v>#N/A</v>
      </c>
      <c r="F69" s="15" t="s">
        <v>189</v>
      </c>
      <c r="G69" s="15" t="s">
        <v>189</v>
      </c>
      <c r="H69" s="15" t="s">
        <v>189</v>
      </c>
      <c r="I69" s="14" t="s">
        <v>176</v>
      </c>
      <c r="J69" s="14" t="s">
        <v>176</v>
      </c>
      <c r="K69" s="15" t="s">
        <v>189</v>
      </c>
      <c r="L69" s="15" t="s">
        <v>189</v>
      </c>
      <c r="M69" s="15" t="s">
        <v>189</v>
      </c>
      <c r="N69" s="15" t="s">
        <v>189</v>
      </c>
      <c r="O69" s="15" t="s">
        <v>189</v>
      </c>
      <c r="P69" s="14" t="s">
        <v>176</v>
      </c>
      <c r="Q69" s="14" t="s">
        <v>176</v>
      </c>
      <c r="R69" s="15" t="s">
        <v>189</v>
      </c>
      <c r="S69" s="15" t="s">
        <v>189</v>
      </c>
      <c r="T69" s="15" t="s">
        <v>189</v>
      </c>
      <c r="U69" s="15" t="s">
        <v>189</v>
      </c>
      <c r="V69" s="15" t="s">
        <v>189</v>
      </c>
      <c r="W69" s="14" t="s">
        <v>176</v>
      </c>
      <c r="X69" s="14" t="s">
        <v>176</v>
      </c>
      <c r="Y69" s="15" t="s">
        <v>189</v>
      </c>
      <c r="Z69" s="15" t="s">
        <v>189</v>
      </c>
      <c r="AL69" t="str">
        <f>IFERROR(_xlfn.XLOOKUP(E69, Branches!$B$2:$B$100, Branches!$C$2:$C$100, "خطأ في الكود"), "")</f>
        <v/>
      </c>
    </row>
    <row r="70" spans="1:38">
      <c r="A70" s="18" t="s">
        <v>209</v>
      </c>
      <c r="B70" s="18">
        <v>80091900</v>
      </c>
      <c r="C70" s="18">
        <v>80091900</v>
      </c>
      <c r="D70" s="18" t="s">
        <v>41</v>
      </c>
      <c r="E70" s="18" t="s">
        <v>42</v>
      </c>
      <c r="F70" s="18" t="s">
        <v>175</v>
      </c>
      <c r="G70" s="18" t="s">
        <v>175</v>
      </c>
      <c r="H70" s="18" t="s">
        <v>175</v>
      </c>
      <c r="I70" s="18" t="s">
        <v>176</v>
      </c>
      <c r="J70" s="18" t="s">
        <v>181</v>
      </c>
      <c r="K70" s="18" t="s">
        <v>181</v>
      </c>
      <c r="L70" s="18" t="s">
        <v>181</v>
      </c>
      <c r="M70" s="18" t="s">
        <v>181</v>
      </c>
      <c r="N70" s="18" t="s">
        <v>181</v>
      </c>
      <c r="O70" s="18" t="s">
        <v>181</v>
      </c>
      <c r="P70" s="18" t="s">
        <v>176</v>
      </c>
      <c r="Q70" s="18" t="s">
        <v>175</v>
      </c>
      <c r="R70" s="18" t="s">
        <v>175</v>
      </c>
      <c r="S70" s="18" t="s">
        <v>175</v>
      </c>
      <c r="T70" s="18" t="s">
        <v>175</v>
      </c>
      <c r="U70" s="18" t="s">
        <v>184</v>
      </c>
      <c r="V70" s="18" t="s">
        <v>184</v>
      </c>
      <c r="W70" s="18" t="s">
        <v>176</v>
      </c>
      <c r="X70" s="18" t="s">
        <v>181</v>
      </c>
      <c r="Y70" s="18" t="s">
        <v>181</v>
      </c>
      <c r="Z70" s="18" t="s">
        <v>181</v>
      </c>
      <c r="AL70" t="str">
        <f>IFERROR(_xlfn.XLOOKUP(E70, Branches!$B$2:$B$100, Branches!$C$2:$C$100, "خطأ في الكود"), "")</f>
        <v>Mohammed Al - Gahtani</v>
      </c>
    </row>
    <row r="71" spans="1:38">
      <c r="A71" s="14" t="s">
        <v>210</v>
      </c>
      <c r="B71" s="14">
        <v>80119351</v>
      </c>
      <c r="C71" s="14">
        <v>80119351</v>
      </c>
      <c r="D71" s="18" t="s">
        <v>18</v>
      </c>
      <c r="E71" s="18" t="s">
        <v>23</v>
      </c>
      <c r="F71" s="19" t="s">
        <v>177</v>
      </c>
      <c r="G71" s="14" t="s">
        <v>175</v>
      </c>
      <c r="H71" s="14" t="s">
        <v>175</v>
      </c>
      <c r="I71" s="14" t="s">
        <v>176</v>
      </c>
      <c r="J71" s="14" t="s">
        <v>184</v>
      </c>
      <c r="K71" s="19" t="s">
        <v>177</v>
      </c>
      <c r="L71" s="19" t="s">
        <v>177</v>
      </c>
      <c r="M71" s="14" t="s">
        <v>175</v>
      </c>
      <c r="N71" s="19" t="s">
        <v>177</v>
      </c>
      <c r="O71" s="14" t="s">
        <v>175</v>
      </c>
      <c r="P71" s="14" t="s">
        <v>176</v>
      </c>
      <c r="Q71" s="15" t="s">
        <v>189</v>
      </c>
      <c r="R71" s="19" t="s">
        <v>177</v>
      </c>
      <c r="S71" s="19" t="s">
        <v>177</v>
      </c>
      <c r="T71" s="19" t="s">
        <v>177</v>
      </c>
      <c r="U71" s="19" t="s">
        <v>177</v>
      </c>
      <c r="V71" s="19" t="s">
        <v>177</v>
      </c>
      <c r="W71" s="14" t="s">
        <v>179</v>
      </c>
      <c r="X71" s="15" t="s">
        <v>189</v>
      </c>
      <c r="Y71" s="19" t="s">
        <v>177</v>
      </c>
      <c r="Z71" s="19" t="s">
        <v>177</v>
      </c>
      <c r="AL71" t="str">
        <f>IFERROR(_xlfn.XLOOKUP(E71, Branches!$B$2:$B$100, Branches!$C$2:$C$100, "خطأ في الكود"), "")</f>
        <v>Zayed Al Subaie</v>
      </c>
    </row>
    <row r="72" spans="1:38">
      <c r="A72" s="18" t="s">
        <v>118</v>
      </c>
      <c r="B72" s="18">
        <v>80067121</v>
      </c>
      <c r="C72" s="18">
        <v>80067121</v>
      </c>
      <c r="D72" s="18" t="s">
        <v>46</v>
      </c>
      <c r="E72" s="18" t="s">
        <v>119</v>
      </c>
      <c r="F72" s="18" t="s">
        <v>175</v>
      </c>
      <c r="G72" s="18" t="s">
        <v>175</v>
      </c>
      <c r="H72" s="18" t="s">
        <v>175</v>
      </c>
      <c r="I72" s="18" t="s">
        <v>176</v>
      </c>
      <c r="J72" s="18" t="s">
        <v>181</v>
      </c>
      <c r="K72" s="18" t="s">
        <v>181</v>
      </c>
      <c r="L72" s="18" t="s">
        <v>181</v>
      </c>
      <c r="M72" s="18" t="s">
        <v>181</v>
      </c>
      <c r="N72" s="18" t="s">
        <v>181</v>
      </c>
      <c r="O72" s="18" t="s">
        <v>175</v>
      </c>
      <c r="P72" s="18" t="s">
        <v>176</v>
      </c>
      <c r="Q72" s="15" t="s">
        <v>180</v>
      </c>
      <c r="R72" s="18" t="s">
        <v>175</v>
      </c>
      <c r="S72" s="18" t="s">
        <v>175</v>
      </c>
      <c r="T72" s="18" t="s">
        <v>175</v>
      </c>
      <c r="U72" s="18" t="s">
        <v>175</v>
      </c>
      <c r="V72" s="18" t="s">
        <v>175</v>
      </c>
      <c r="W72" s="18" t="s">
        <v>176</v>
      </c>
      <c r="X72" s="18" t="s">
        <v>175</v>
      </c>
      <c r="Y72" s="18" t="s">
        <v>181</v>
      </c>
      <c r="Z72" s="18" t="s">
        <v>181</v>
      </c>
      <c r="AL72" t="str">
        <f>IFERROR(_xlfn.XLOOKUP(E72, Branches!$B$2:$B$100, Branches!$C$2:$C$100, "خطأ في الكود"), "")</f>
        <v>Musab Hakami</v>
      </c>
    </row>
    <row r="73" spans="1:38">
      <c r="A73" s="14" t="s">
        <v>120</v>
      </c>
      <c r="B73" s="14">
        <v>80127803</v>
      </c>
      <c r="C73" s="14">
        <v>80127803</v>
      </c>
      <c r="D73" s="18" t="s">
        <v>18</v>
      </c>
      <c r="E73" s="18" t="s">
        <v>121</v>
      </c>
      <c r="F73" s="14" t="s">
        <v>184</v>
      </c>
      <c r="G73" s="14" t="s">
        <v>182</v>
      </c>
      <c r="H73" s="14" t="s">
        <v>175</v>
      </c>
      <c r="I73" s="14" t="s">
        <v>176</v>
      </c>
      <c r="J73" s="14" t="s">
        <v>192</v>
      </c>
      <c r="K73" s="14" t="s">
        <v>175</v>
      </c>
      <c r="L73" s="14" t="s">
        <v>175</v>
      </c>
      <c r="M73" s="14" t="s">
        <v>175</v>
      </c>
      <c r="N73" s="14" t="s">
        <v>205</v>
      </c>
      <c r="O73" s="14" t="s">
        <v>175</v>
      </c>
      <c r="P73" s="14" t="s">
        <v>176</v>
      </c>
      <c r="Q73" s="14" t="s">
        <v>175</v>
      </c>
      <c r="R73" s="14" t="s">
        <v>175</v>
      </c>
      <c r="S73" s="14" t="s">
        <v>175</v>
      </c>
      <c r="T73" s="14" t="s">
        <v>205</v>
      </c>
      <c r="U73" s="14" t="s">
        <v>175</v>
      </c>
      <c r="V73" s="14" t="s">
        <v>175</v>
      </c>
      <c r="W73" s="14" t="s">
        <v>176</v>
      </c>
      <c r="X73" s="14" t="s">
        <v>175</v>
      </c>
      <c r="Y73" s="14" t="s">
        <v>175</v>
      </c>
      <c r="Z73" s="19" t="s">
        <v>177</v>
      </c>
      <c r="AL73" t="str">
        <f>IFERROR(_xlfn.XLOOKUP(E73, Branches!$B$2:$B$100, Branches!$C$2:$C$100, "خطأ في الكود"), "")</f>
        <v>Zayed Al Subaie</v>
      </c>
    </row>
    <row r="74" spans="1:38">
      <c r="A74" s="18" t="s">
        <v>211</v>
      </c>
      <c r="B74" s="18">
        <v>80130045</v>
      </c>
      <c r="C74" s="18">
        <v>80130045</v>
      </c>
      <c r="D74" s="18" t="s">
        <v>18</v>
      </c>
      <c r="E74" s="18" t="s">
        <v>21</v>
      </c>
      <c r="F74" s="18" t="s">
        <v>184</v>
      </c>
      <c r="G74" s="18" t="s">
        <v>184</v>
      </c>
      <c r="H74" s="18" t="s">
        <v>184</v>
      </c>
      <c r="I74" s="18" t="s">
        <v>184</v>
      </c>
      <c r="J74" s="18" t="s">
        <v>184</v>
      </c>
      <c r="K74" s="18" t="s">
        <v>184</v>
      </c>
      <c r="L74" s="18" t="s">
        <v>184</v>
      </c>
      <c r="M74" s="19" t="s">
        <v>177</v>
      </c>
      <c r="N74" s="19" t="s">
        <v>177</v>
      </c>
      <c r="O74" s="18" t="s">
        <v>175</v>
      </c>
      <c r="P74" s="18" t="s">
        <v>176</v>
      </c>
      <c r="Q74" s="18" t="s">
        <v>175</v>
      </c>
      <c r="R74" s="18" t="s">
        <v>175</v>
      </c>
      <c r="S74" s="19" t="s">
        <v>177</v>
      </c>
      <c r="T74" s="18" t="s">
        <v>175</v>
      </c>
      <c r="U74" s="18" t="s">
        <v>175</v>
      </c>
      <c r="V74" s="15" t="s">
        <v>189</v>
      </c>
      <c r="W74" s="18" t="s">
        <v>176</v>
      </c>
      <c r="X74" s="18" t="s">
        <v>175</v>
      </c>
      <c r="Y74" s="19" t="s">
        <v>177</v>
      </c>
      <c r="Z74" s="18" t="s">
        <v>175</v>
      </c>
      <c r="AL74" t="str">
        <f>IFERROR(_xlfn.XLOOKUP(E74, Branches!$B$2:$B$100, Branches!$C$2:$C$100, "خطأ في الكود"), "")</f>
        <v>Zayed Al Subaie</v>
      </c>
    </row>
    <row r="75" spans="1:38">
      <c r="A75" s="14" t="s">
        <v>122</v>
      </c>
      <c r="B75" s="14">
        <v>80104727</v>
      </c>
      <c r="C75" s="14">
        <v>80104727</v>
      </c>
      <c r="D75" s="18" t="s">
        <v>46</v>
      </c>
      <c r="E75" s="18" t="s">
        <v>123</v>
      </c>
      <c r="F75" s="14" t="s">
        <v>175</v>
      </c>
      <c r="G75" s="14" t="s">
        <v>175</v>
      </c>
      <c r="H75" s="14" t="s">
        <v>175</v>
      </c>
      <c r="I75" s="14" t="s">
        <v>176</v>
      </c>
      <c r="J75" s="14" t="s">
        <v>175</v>
      </c>
      <c r="K75" s="14" t="s">
        <v>175</v>
      </c>
      <c r="L75" s="19" t="s">
        <v>177</v>
      </c>
      <c r="M75" s="14" t="s">
        <v>175</v>
      </c>
      <c r="N75" s="14" t="s">
        <v>175</v>
      </c>
      <c r="O75" s="14" t="s">
        <v>175</v>
      </c>
      <c r="P75" s="14" t="s">
        <v>176</v>
      </c>
      <c r="Q75" s="14" t="s">
        <v>175</v>
      </c>
      <c r="R75" s="19" t="s">
        <v>177</v>
      </c>
      <c r="S75" s="14" t="s">
        <v>175</v>
      </c>
      <c r="T75" s="14" t="s">
        <v>175</v>
      </c>
      <c r="U75" s="14" t="s">
        <v>175</v>
      </c>
      <c r="V75" s="19" t="s">
        <v>177</v>
      </c>
      <c r="W75" s="14" t="s">
        <v>176</v>
      </c>
      <c r="X75" s="14" t="s">
        <v>175</v>
      </c>
      <c r="Y75" s="19" t="s">
        <v>177</v>
      </c>
      <c r="Z75" s="14" t="s">
        <v>175</v>
      </c>
      <c r="AL75" t="str">
        <f>IFERROR(_xlfn.XLOOKUP(E75, Branches!$B$2:$B$100, Branches!$C$2:$C$100, "خطأ في الكود"), "")</f>
        <v>Musab Hakami</v>
      </c>
    </row>
    <row r="76" spans="1:38">
      <c r="A76" s="18" t="s">
        <v>212</v>
      </c>
      <c r="B76" s="18">
        <v>80068258</v>
      </c>
      <c r="C76" s="18">
        <v>80068258</v>
      </c>
      <c r="D76" s="18" t="s">
        <v>41</v>
      </c>
      <c r="E76" s="18" t="s">
        <v>42</v>
      </c>
      <c r="F76" s="18" t="s">
        <v>181</v>
      </c>
      <c r="G76" s="18" t="s">
        <v>181</v>
      </c>
      <c r="H76" s="18" t="s">
        <v>181</v>
      </c>
      <c r="I76" s="18" t="s">
        <v>181</v>
      </c>
      <c r="J76" s="18" t="s">
        <v>176</v>
      </c>
      <c r="K76" s="18" t="s">
        <v>175</v>
      </c>
      <c r="L76" s="18" t="s">
        <v>175</v>
      </c>
      <c r="M76" s="18" t="s">
        <v>175</v>
      </c>
      <c r="N76" s="18" t="s">
        <v>175</v>
      </c>
      <c r="O76" s="18" t="s">
        <v>175</v>
      </c>
      <c r="P76" s="18" t="s">
        <v>176</v>
      </c>
      <c r="Q76" s="18" t="s">
        <v>181</v>
      </c>
      <c r="R76" s="18" t="s">
        <v>181</v>
      </c>
      <c r="S76" s="18" t="s">
        <v>181</v>
      </c>
      <c r="T76" s="18" t="s">
        <v>181</v>
      </c>
      <c r="U76" s="18" t="s">
        <v>181</v>
      </c>
      <c r="V76" s="18" t="s">
        <v>181</v>
      </c>
      <c r="W76" s="18" t="s">
        <v>176</v>
      </c>
      <c r="X76" s="18" t="s">
        <v>175</v>
      </c>
      <c r="Y76" s="18" t="s">
        <v>175</v>
      </c>
      <c r="Z76" s="18" t="s">
        <v>175</v>
      </c>
      <c r="AL76" t="str">
        <f>IFERROR(_xlfn.XLOOKUP(E76, Branches!$B$2:$B$100, Branches!$C$2:$C$100, "خطأ في الكود"), "")</f>
        <v>Mohammed Al - Gahtani</v>
      </c>
    </row>
    <row r="77" spans="1:38">
      <c r="A77" s="14" t="s">
        <v>213</v>
      </c>
      <c r="B77" s="14">
        <v>80056015</v>
      </c>
      <c r="C77" s="14">
        <v>80056015</v>
      </c>
      <c r="D77" s="18" t="s">
        <v>46</v>
      </c>
      <c r="E77" s="18" t="s">
        <v>123</v>
      </c>
      <c r="F77" s="19" t="s">
        <v>177</v>
      </c>
      <c r="G77" s="19" t="s">
        <v>177</v>
      </c>
      <c r="H77" s="19" t="s">
        <v>177</v>
      </c>
      <c r="I77" s="14" t="s">
        <v>176</v>
      </c>
      <c r="J77" s="14" t="s">
        <v>181</v>
      </c>
      <c r="K77" s="14" t="s">
        <v>175</v>
      </c>
      <c r="L77" s="14" t="s">
        <v>175</v>
      </c>
      <c r="M77" s="14" t="s">
        <v>175</v>
      </c>
      <c r="N77" s="14" t="s">
        <v>175</v>
      </c>
      <c r="O77" s="14" t="s">
        <v>175</v>
      </c>
      <c r="P77" s="14" t="s">
        <v>176</v>
      </c>
      <c r="Q77" s="14" t="s">
        <v>181</v>
      </c>
      <c r="R77" s="14" t="s">
        <v>192</v>
      </c>
      <c r="S77" s="19" t="s">
        <v>177</v>
      </c>
      <c r="T77" s="14" t="s">
        <v>175</v>
      </c>
      <c r="U77" s="14" t="s">
        <v>175</v>
      </c>
      <c r="V77" s="14" t="s">
        <v>175</v>
      </c>
      <c r="W77" s="14" t="s">
        <v>176</v>
      </c>
      <c r="X77" s="14" t="s">
        <v>181</v>
      </c>
      <c r="Y77" s="14" t="s">
        <v>181</v>
      </c>
      <c r="Z77" s="14" t="s">
        <v>181</v>
      </c>
      <c r="AL77" t="str">
        <f>IFERROR(_xlfn.XLOOKUP(E77, Branches!$B$2:$B$100, Branches!$C$2:$C$100, "خطأ في الكود"), "")</f>
        <v>Musab Hakami</v>
      </c>
    </row>
    <row r="78" spans="1:38">
      <c r="A78" s="18" t="s">
        <v>214</v>
      </c>
      <c r="B78" s="18">
        <v>80062698</v>
      </c>
      <c r="C78" s="18">
        <v>80062698</v>
      </c>
      <c r="D78" s="18" t="s">
        <v>18</v>
      </c>
      <c r="E78" s="18" t="s">
        <v>109</v>
      </c>
      <c r="F78" s="18" t="s">
        <v>184</v>
      </c>
      <c r="G78" s="18" t="s">
        <v>184</v>
      </c>
      <c r="H78" s="18" t="s">
        <v>184</v>
      </c>
      <c r="I78" s="18" t="s">
        <v>184</v>
      </c>
      <c r="J78" s="18" t="s">
        <v>184</v>
      </c>
      <c r="K78" s="18" t="s">
        <v>181</v>
      </c>
      <c r="L78" s="18" t="s">
        <v>181</v>
      </c>
      <c r="M78" s="18" t="s">
        <v>181</v>
      </c>
      <c r="N78" s="18" t="s">
        <v>181</v>
      </c>
      <c r="O78" s="18" t="s">
        <v>181</v>
      </c>
      <c r="P78" s="18" t="s">
        <v>176</v>
      </c>
      <c r="Q78" s="18" t="s">
        <v>184</v>
      </c>
      <c r="R78" s="18" t="s">
        <v>181</v>
      </c>
      <c r="S78" s="18" t="s">
        <v>181</v>
      </c>
      <c r="T78" s="18" t="s">
        <v>181</v>
      </c>
      <c r="U78" s="18" t="s">
        <v>181</v>
      </c>
      <c r="V78" s="19" t="s">
        <v>178</v>
      </c>
      <c r="W78" s="18" t="s">
        <v>176</v>
      </c>
      <c r="X78" s="18" t="s">
        <v>181</v>
      </c>
      <c r="Y78" s="18" t="s">
        <v>181</v>
      </c>
      <c r="Z78" s="18" t="s">
        <v>181</v>
      </c>
      <c r="AL78" t="str">
        <f>IFERROR(_xlfn.XLOOKUP(E78, Branches!$B$2:$B$100, Branches!$C$2:$C$100, "خطأ في الكود"), "")</f>
        <v>Zayed Al Subaie</v>
      </c>
    </row>
    <row r="79" spans="1:38">
      <c r="A79" s="14" t="s">
        <v>215</v>
      </c>
      <c r="B79" s="14">
        <v>80063020</v>
      </c>
      <c r="C79" s="14">
        <v>80063020</v>
      </c>
      <c r="D79" s="18" t="s">
        <v>18</v>
      </c>
      <c r="E79" s="18" t="s">
        <v>75</v>
      </c>
      <c r="F79" s="14" t="s">
        <v>181</v>
      </c>
      <c r="G79" s="14" t="s">
        <v>181</v>
      </c>
      <c r="H79" s="19" t="s">
        <v>178</v>
      </c>
      <c r="I79" s="14" t="s">
        <v>181</v>
      </c>
      <c r="J79" s="14" t="s">
        <v>176</v>
      </c>
      <c r="K79" s="14" t="s">
        <v>181</v>
      </c>
      <c r="L79" s="19" t="s">
        <v>177</v>
      </c>
      <c r="M79" s="14" t="s">
        <v>175</v>
      </c>
      <c r="N79" s="19" t="s">
        <v>177</v>
      </c>
      <c r="O79" s="14" t="s">
        <v>175</v>
      </c>
      <c r="P79" s="14" t="s">
        <v>181</v>
      </c>
      <c r="Q79" s="14" t="s">
        <v>176</v>
      </c>
      <c r="R79" s="14" t="s">
        <v>181</v>
      </c>
      <c r="S79" s="14" t="s">
        <v>181</v>
      </c>
      <c r="T79" s="14" t="s">
        <v>181</v>
      </c>
      <c r="U79" s="14" t="s">
        <v>181</v>
      </c>
      <c r="V79" s="19" t="s">
        <v>178</v>
      </c>
      <c r="W79" s="14" t="s">
        <v>181</v>
      </c>
      <c r="X79" s="14" t="s">
        <v>176</v>
      </c>
      <c r="Y79" s="14" t="s">
        <v>181</v>
      </c>
      <c r="Z79" s="14" t="s">
        <v>175</v>
      </c>
      <c r="AL79" t="str">
        <f>IFERROR(_xlfn.XLOOKUP(E79, Branches!$B$2:$B$100, Branches!$C$2:$C$100, "خطأ في الكود"), "")</f>
        <v>Othman Al Sagri</v>
      </c>
    </row>
    <row r="80" spans="1:38">
      <c r="A80" s="18" t="s">
        <v>124</v>
      </c>
      <c r="B80" s="18">
        <v>80125115</v>
      </c>
      <c r="C80" s="18">
        <v>80125115</v>
      </c>
      <c r="D80" s="18" t="s">
        <v>18</v>
      </c>
      <c r="E80" s="18" t="s">
        <v>125</v>
      </c>
      <c r="F80" s="18" t="s">
        <v>175</v>
      </c>
      <c r="G80" s="19" t="s">
        <v>177</v>
      </c>
      <c r="H80" s="18" t="s">
        <v>175</v>
      </c>
      <c r="I80" s="18" t="s">
        <v>176</v>
      </c>
      <c r="J80" s="19" t="s">
        <v>177</v>
      </c>
      <c r="K80" s="19" t="s">
        <v>177</v>
      </c>
      <c r="L80" s="19" t="s">
        <v>177</v>
      </c>
      <c r="M80" s="19" t="s">
        <v>177</v>
      </c>
      <c r="N80" s="18" t="s">
        <v>181</v>
      </c>
      <c r="O80" s="18" t="s">
        <v>181</v>
      </c>
      <c r="P80" s="18" t="s">
        <v>176</v>
      </c>
      <c r="Q80" s="18" t="s">
        <v>175</v>
      </c>
      <c r="R80" s="19" t="s">
        <v>177</v>
      </c>
      <c r="S80" s="19" t="s">
        <v>177</v>
      </c>
      <c r="T80" s="19" t="s">
        <v>177</v>
      </c>
      <c r="U80" s="19" t="s">
        <v>177</v>
      </c>
      <c r="V80" s="19" t="s">
        <v>177</v>
      </c>
      <c r="W80" s="18" t="s">
        <v>176</v>
      </c>
      <c r="X80" s="19" t="s">
        <v>177</v>
      </c>
      <c r="Y80" s="19" t="s">
        <v>177</v>
      </c>
      <c r="Z80" s="19" t="s">
        <v>177</v>
      </c>
      <c r="AL80" t="str">
        <f>IFERROR(_xlfn.XLOOKUP(E80, Branches!$B$2:$B$100, Branches!$C$2:$C$100, "خطأ في الكود"), "")</f>
        <v>Zayed Al Subaie</v>
      </c>
    </row>
    <row r="81" spans="1:38">
      <c r="A81" s="14" t="s">
        <v>126</v>
      </c>
      <c r="B81" s="14">
        <v>80125803</v>
      </c>
      <c r="C81" s="14">
        <v>80125803</v>
      </c>
      <c r="D81" s="18" t="s">
        <v>18</v>
      </c>
      <c r="E81" s="18" t="s">
        <v>127</v>
      </c>
      <c r="F81" s="14" t="s">
        <v>181</v>
      </c>
      <c r="G81" s="14" t="s">
        <v>181</v>
      </c>
      <c r="H81" s="19" t="s">
        <v>178</v>
      </c>
      <c r="I81" s="14" t="s">
        <v>184</v>
      </c>
      <c r="J81" s="14" t="s">
        <v>176</v>
      </c>
      <c r="K81" s="14" t="s">
        <v>181</v>
      </c>
      <c r="L81" s="19" t="s">
        <v>178</v>
      </c>
      <c r="M81" s="19" t="s">
        <v>178</v>
      </c>
      <c r="N81" s="14" t="s">
        <v>181</v>
      </c>
      <c r="O81" s="15" t="s">
        <v>180</v>
      </c>
      <c r="P81" s="19" t="s">
        <v>178</v>
      </c>
      <c r="Q81" s="14" t="s">
        <v>176</v>
      </c>
      <c r="R81" s="14" t="s">
        <v>181</v>
      </c>
      <c r="S81" s="14" t="s">
        <v>181</v>
      </c>
      <c r="T81" s="14" t="s">
        <v>181</v>
      </c>
      <c r="U81" s="14" t="s">
        <v>181</v>
      </c>
      <c r="V81" s="14" t="s">
        <v>181</v>
      </c>
      <c r="W81" s="14" t="s">
        <v>181</v>
      </c>
      <c r="X81" s="14" t="s">
        <v>176</v>
      </c>
      <c r="Y81" s="19" t="s">
        <v>178</v>
      </c>
      <c r="Z81" s="14" t="s">
        <v>181</v>
      </c>
      <c r="AL81" t="str">
        <f>IFERROR(_xlfn.XLOOKUP(E81, Branches!$B$2:$B$100, Branches!$C$2:$C$100, "خطأ في الكود"), "")</f>
        <v>Zayed Al Subaie</v>
      </c>
    </row>
    <row r="82" spans="1:38">
      <c r="A82" s="18" t="s">
        <v>128</v>
      </c>
      <c r="B82" s="18">
        <v>80126588</v>
      </c>
      <c r="C82" s="18">
        <v>80126588</v>
      </c>
      <c r="D82" s="18" t="s">
        <v>30</v>
      </c>
      <c r="E82" s="18" t="s">
        <v>129</v>
      </c>
      <c r="F82" s="19" t="s">
        <v>177</v>
      </c>
      <c r="G82" s="18" t="s">
        <v>175</v>
      </c>
      <c r="H82" s="19" t="s">
        <v>177</v>
      </c>
      <c r="I82" s="18" t="s">
        <v>176</v>
      </c>
      <c r="J82" s="18" t="s">
        <v>181</v>
      </c>
      <c r="K82" s="19" t="s">
        <v>178</v>
      </c>
      <c r="L82" s="19" t="s">
        <v>178</v>
      </c>
      <c r="M82" s="15" t="s">
        <v>180</v>
      </c>
      <c r="N82" s="18" t="s">
        <v>181</v>
      </c>
      <c r="O82" s="15" t="s">
        <v>180</v>
      </c>
      <c r="P82" s="19" t="s">
        <v>178</v>
      </c>
      <c r="Q82" s="18" t="s">
        <v>176</v>
      </c>
      <c r="R82" s="18" t="s">
        <v>181</v>
      </c>
      <c r="S82" s="19" t="s">
        <v>178</v>
      </c>
      <c r="T82" s="19" t="s">
        <v>178</v>
      </c>
      <c r="U82" s="19" t="s">
        <v>178</v>
      </c>
      <c r="V82" s="19" t="s">
        <v>178</v>
      </c>
      <c r="W82" s="18" t="s">
        <v>176</v>
      </c>
      <c r="X82" s="18" t="s">
        <v>181</v>
      </c>
      <c r="Y82" s="19" t="s">
        <v>178</v>
      </c>
      <c r="Z82" s="19" t="s">
        <v>178</v>
      </c>
      <c r="AL82" t="str">
        <f>IFERROR(_xlfn.XLOOKUP(E82, Branches!$B$2:$B$100, Branches!$C$2:$C$100, "خطأ في الكود"), "")</f>
        <v>Bandar Garziz</v>
      </c>
    </row>
    <row r="83" spans="1:38">
      <c r="A83" s="14" t="s">
        <v>130</v>
      </c>
      <c r="B83" s="14">
        <v>80104417</v>
      </c>
      <c r="C83" s="14">
        <v>80104417</v>
      </c>
      <c r="D83" s="18" t="s">
        <v>41</v>
      </c>
      <c r="E83" s="18" t="s">
        <v>131</v>
      </c>
      <c r="F83" s="14" t="s">
        <v>181</v>
      </c>
      <c r="G83" s="14" t="s">
        <v>181</v>
      </c>
      <c r="H83" s="14" t="s">
        <v>181</v>
      </c>
      <c r="I83" s="14" t="s">
        <v>176</v>
      </c>
      <c r="J83" s="14" t="s">
        <v>175</v>
      </c>
      <c r="K83" s="14" t="s">
        <v>175</v>
      </c>
      <c r="L83" s="14" t="s">
        <v>181</v>
      </c>
      <c r="M83" s="14" t="s">
        <v>181</v>
      </c>
      <c r="N83" s="14" t="s">
        <v>181</v>
      </c>
      <c r="O83" s="14" t="s">
        <v>181</v>
      </c>
      <c r="P83" s="14" t="s">
        <v>176</v>
      </c>
      <c r="Q83" s="14" t="s">
        <v>175</v>
      </c>
      <c r="R83" s="14" t="s">
        <v>175</v>
      </c>
      <c r="S83" s="14" t="s">
        <v>175</v>
      </c>
      <c r="T83" s="19" t="s">
        <v>177</v>
      </c>
      <c r="U83" s="19" t="s">
        <v>177</v>
      </c>
      <c r="V83" s="14" t="s">
        <v>175</v>
      </c>
      <c r="W83" s="14" t="s">
        <v>176</v>
      </c>
      <c r="X83" s="19" t="s">
        <v>177</v>
      </c>
      <c r="Y83" s="14" t="s">
        <v>182</v>
      </c>
      <c r="Z83" s="14" t="s">
        <v>184</v>
      </c>
      <c r="AL83" t="str">
        <f>IFERROR(_xlfn.XLOOKUP(E83, Branches!$B$2:$B$100, Branches!$C$2:$C$100, "خطأ في الكود"), "")</f>
        <v>Mohammed Al - Gahtani</v>
      </c>
    </row>
    <row r="84" spans="1:38">
      <c r="A84" s="18" t="s">
        <v>216</v>
      </c>
      <c r="B84" s="18">
        <v>80127413</v>
      </c>
      <c r="C84" s="18">
        <v>80127413</v>
      </c>
      <c r="D84" s="18" t="s">
        <v>46</v>
      </c>
      <c r="E84" s="18" t="s">
        <v>63</v>
      </c>
      <c r="F84" s="19" t="s">
        <v>178</v>
      </c>
      <c r="G84" s="18" t="s">
        <v>181</v>
      </c>
      <c r="H84" s="18" t="s">
        <v>176</v>
      </c>
      <c r="I84" s="18" t="s">
        <v>181</v>
      </c>
      <c r="J84" s="18" t="s">
        <v>181</v>
      </c>
      <c r="K84" s="18" t="s">
        <v>181</v>
      </c>
      <c r="L84" s="18" t="s">
        <v>181</v>
      </c>
      <c r="M84" s="18" t="s">
        <v>181</v>
      </c>
      <c r="N84" s="18" t="s">
        <v>181</v>
      </c>
      <c r="O84" s="15" t="s">
        <v>180</v>
      </c>
      <c r="P84" s="18" t="s">
        <v>176</v>
      </c>
      <c r="Q84" s="18" t="s">
        <v>175</v>
      </c>
      <c r="R84" s="18" t="s">
        <v>175</v>
      </c>
      <c r="S84" s="19" t="s">
        <v>177</v>
      </c>
      <c r="T84" s="19" t="s">
        <v>177</v>
      </c>
      <c r="U84" s="18" t="s">
        <v>176</v>
      </c>
      <c r="V84" s="18" t="s">
        <v>184</v>
      </c>
      <c r="W84" s="18" t="s">
        <v>181</v>
      </c>
      <c r="X84" s="18" t="s">
        <v>181</v>
      </c>
      <c r="Y84" s="18" t="s">
        <v>181</v>
      </c>
      <c r="Z84" s="18" t="s">
        <v>181</v>
      </c>
      <c r="AL84" t="str">
        <f>IFERROR(_xlfn.XLOOKUP(E84, Branches!$B$2:$B$100, Branches!$C$2:$C$100, "خطأ في الكود"), "")</f>
        <v>Musab Hakami</v>
      </c>
    </row>
    <row r="85" spans="1:38">
      <c r="A85" s="14" t="s">
        <v>217</v>
      </c>
      <c r="B85" s="14">
        <v>80104720</v>
      </c>
      <c r="C85" s="14">
        <v>80104720</v>
      </c>
      <c r="D85" s="18" t="s">
        <v>27</v>
      </c>
      <c r="E85" s="18" t="s">
        <v>65</v>
      </c>
      <c r="F85" s="14" t="s">
        <v>184</v>
      </c>
      <c r="G85" s="14" t="s">
        <v>184</v>
      </c>
      <c r="H85" s="14" t="s">
        <v>184</v>
      </c>
      <c r="I85" s="14" t="s">
        <v>184</v>
      </c>
      <c r="J85" s="14" t="s">
        <v>184</v>
      </c>
      <c r="K85" s="14" t="s">
        <v>184</v>
      </c>
      <c r="L85" s="14" t="s">
        <v>184</v>
      </c>
      <c r="M85" s="14" t="s">
        <v>184</v>
      </c>
      <c r="N85" s="14" t="s">
        <v>184</v>
      </c>
      <c r="O85" s="14" t="s">
        <v>184</v>
      </c>
      <c r="P85" s="14" t="s">
        <v>184</v>
      </c>
      <c r="Q85" s="14" t="s">
        <v>184</v>
      </c>
      <c r="R85" s="14" t="s">
        <v>184</v>
      </c>
      <c r="S85" s="14" t="s">
        <v>184</v>
      </c>
      <c r="T85" s="14" t="s">
        <v>184</v>
      </c>
      <c r="U85" s="14" t="s">
        <v>184</v>
      </c>
      <c r="V85" s="14" t="s">
        <v>184</v>
      </c>
      <c r="W85" s="14" t="s">
        <v>184</v>
      </c>
      <c r="X85" s="14" t="s">
        <v>184</v>
      </c>
      <c r="Y85" s="14" t="s">
        <v>184</v>
      </c>
      <c r="Z85" s="14" t="s">
        <v>184</v>
      </c>
      <c r="AL85" t="str">
        <f>IFERROR(_xlfn.XLOOKUP(E85, Branches!$B$2:$B$100, Branches!$C$2:$C$100, "خطأ في الكود"), "")</f>
        <v>Mohammed Gobran Abdali</v>
      </c>
    </row>
    <row r="86" spans="1:38">
      <c r="A86" s="18" t="s">
        <v>132</v>
      </c>
      <c r="B86" s="18">
        <v>80124809</v>
      </c>
      <c r="C86" s="18">
        <v>80124809</v>
      </c>
      <c r="D86" s="18" t="s">
        <v>30</v>
      </c>
      <c r="E86" s="18" t="s">
        <v>133</v>
      </c>
      <c r="F86" s="18" t="s">
        <v>181</v>
      </c>
      <c r="G86" s="18" t="s">
        <v>181</v>
      </c>
      <c r="H86" s="18" t="s">
        <v>181</v>
      </c>
      <c r="I86" s="18" t="s">
        <v>176</v>
      </c>
      <c r="J86" s="18" t="s">
        <v>175</v>
      </c>
      <c r="K86" s="18" t="s">
        <v>181</v>
      </c>
      <c r="L86" s="18" t="s">
        <v>181</v>
      </c>
      <c r="M86" s="18" t="s">
        <v>181</v>
      </c>
      <c r="N86" s="18" t="s">
        <v>181</v>
      </c>
      <c r="O86" s="18" t="s">
        <v>175</v>
      </c>
      <c r="P86" s="18" t="s">
        <v>176</v>
      </c>
      <c r="Q86" s="18" t="s">
        <v>175</v>
      </c>
      <c r="R86" s="18" t="s">
        <v>175</v>
      </c>
      <c r="S86" s="18" t="s">
        <v>175</v>
      </c>
      <c r="T86" s="19" t="s">
        <v>177</v>
      </c>
      <c r="U86" s="19" t="s">
        <v>177</v>
      </c>
      <c r="V86" s="19" t="s">
        <v>177</v>
      </c>
      <c r="W86" s="18" t="s">
        <v>176</v>
      </c>
      <c r="X86" s="18" t="s">
        <v>175</v>
      </c>
      <c r="Y86" s="18" t="s">
        <v>181</v>
      </c>
      <c r="Z86" s="18" t="s">
        <v>181</v>
      </c>
      <c r="AL86" t="str">
        <f>IFERROR(_xlfn.XLOOKUP(E86, Branches!$B$2:$B$100, Branches!$C$2:$C$100, "خطأ في الكود"), "")</f>
        <v>Bandar Garziz</v>
      </c>
    </row>
    <row r="87" spans="1:38">
      <c r="A87" s="14" t="s">
        <v>218</v>
      </c>
      <c r="B87" s="14">
        <v>80106007</v>
      </c>
      <c r="C87" s="14">
        <v>80106007</v>
      </c>
      <c r="D87" s="18" t="s">
        <v>27</v>
      </c>
      <c r="E87" s="18" t="s">
        <v>33</v>
      </c>
      <c r="F87" s="14" t="s">
        <v>175</v>
      </c>
      <c r="G87" s="14" t="s">
        <v>175</v>
      </c>
      <c r="H87" s="14" t="s">
        <v>175</v>
      </c>
      <c r="I87" s="14" t="s">
        <v>176</v>
      </c>
      <c r="J87" s="14" t="s">
        <v>181</v>
      </c>
      <c r="K87" s="14" t="s">
        <v>181</v>
      </c>
      <c r="L87" s="14" t="s">
        <v>181</v>
      </c>
      <c r="M87" s="14" t="s">
        <v>181</v>
      </c>
      <c r="N87" s="14" t="s">
        <v>181</v>
      </c>
      <c r="O87" s="14" t="s">
        <v>181</v>
      </c>
      <c r="P87" s="14" t="s">
        <v>181</v>
      </c>
      <c r="Q87" s="14" t="s">
        <v>176</v>
      </c>
      <c r="R87" s="14" t="s">
        <v>181</v>
      </c>
      <c r="S87" s="14" t="s">
        <v>181</v>
      </c>
      <c r="T87" s="14" t="s">
        <v>181</v>
      </c>
      <c r="U87" s="14" t="s">
        <v>181</v>
      </c>
      <c r="V87" s="14" t="s">
        <v>176</v>
      </c>
      <c r="W87" s="14" t="s">
        <v>205</v>
      </c>
      <c r="X87" s="14" t="s">
        <v>175</v>
      </c>
      <c r="Y87" s="14" t="s">
        <v>175</v>
      </c>
      <c r="Z87" s="14" t="s">
        <v>175</v>
      </c>
      <c r="AL87" t="str">
        <f>IFERROR(_xlfn.XLOOKUP(E87, Branches!$B$2:$B$100, Branches!$C$2:$C$100, "خطأ في الكود"), "")</f>
        <v>Mohammed Gobran Abdali</v>
      </c>
    </row>
    <row r="88" spans="1:38">
      <c r="A88" s="18" t="s">
        <v>219</v>
      </c>
      <c r="B88" s="18">
        <v>80092578</v>
      </c>
      <c r="C88" s="18">
        <v>80092578</v>
      </c>
      <c r="D88" s="18" t="s">
        <v>30</v>
      </c>
      <c r="E88" s="18" t="s">
        <v>133</v>
      </c>
      <c r="F88" s="18" t="s">
        <v>181</v>
      </c>
      <c r="G88" s="18" t="s">
        <v>181</v>
      </c>
      <c r="H88" s="18" t="s">
        <v>181</v>
      </c>
      <c r="I88" s="18" t="s">
        <v>181</v>
      </c>
      <c r="J88" s="18" t="s">
        <v>184</v>
      </c>
      <c r="K88" s="18" t="s">
        <v>184</v>
      </c>
      <c r="L88" s="18" t="s">
        <v>184</v>
      </c>
      <c r="M88" s="18" t="s">
        <v>184</v>
      </c>
      <c r="N88" s="18" t="s">
        <v>184</v>
      </c>
      <c r="O88" s="18" t="s">
        <v>181</v>
      </c>
      <c r="P88" s="18" t="s">
        <v>181</v>
      </c>
      <c r="Q88" s="18" t="s">
        <v>176</v>
      </c>
      <c r="R88" s="18" t="s">
        <v>181</v>
      </c>
      <c r="S88" s="19" t="s">
        <v>178</v>
      </c>
      <c r="T88" s="18" t="s">
        <v>181</v>
      </c>
      <c r="U88" s="18" t="s">
        <v>181</v>
      </c>
      <c r="V88" s="18" t="s">
        <v>181</v>
      </c>
      <c r="W88" s="18" t="s">
        <v>181</v>
      </c>
      <c r="X88" s="18" t="s">
        <v>176</v>
      </c>
      <c r="Y88" s="19" t="s">
        <v>177</v>
      </c>
      <c r="Z88" s="19" t="s">
        <v>177</v>
      </c>
      <c r="AL88" t="str">
        <f>IFERROR(_xlfn.XLOOKUP(E88, Branches!$B$2:$B$100, Branches!$C$2:$C$100, "خطأ في الكود"), "")</f>
        <v>Bandar Garziz</v>
      </c>
    </row>
    <row r="89" spans="1:38">
      <c r="A89" s="14" t="s">
        <v>134</v>
      </c>
      <c r="B89" s="14">
        <v>80103935</v>
      </c>
      <c r="C89" s="14">
        <v>80103935</v>
      </c>
      <c r="D89" s="18" t="s">
        <v>30</v>
      </c>
      <c r="E89" s="18" t="s">
        <v>135</v>
      </c>
      <c r="F89" s="14" t="s">
        <v>181</v>
      </c>
      <c r="G89" s="14" t="s">
        <v>181</v>
      </c>
      <c r="H89" s="14" t="s">
        <v>181</v>
      </c>
      <c r="I89" s="14" t="s">
        <v>176</v>
      </c>
      <c r="J89" s="14" t="s">
        <v>181</v>
      </c>
      <c r="K89" s="14" t="s">
        <v>181</v>
      </c>
      <c r="L89" s="14" t="s">
        <v>181</v>
      </c>
      <c r="M89" s="14" t="s">
        <v>181</v>
      </c>
      <c r="N89" s="14" t="s">
        <v>181</v>
      </c>
      <c r="O89" s="15" t="s">
        <v>180</v>
      </c>
      <c r="P89" s="14" t="s">
        <v>176</v>
      </c>
      <c r="Q89" s="14" t="s">
        <v>181</v>
      </c>
      <c r="R89" s="14" t="s">
        <v>181</v>
      </c>
      <c r="S89" s="14" t="s">
        <v>181</v>
      </c>
      <c r="T89" s="14" t="s">
        <v>181</v>
      </c>
      <c r="U89" s="14" t="s">
        <v>181</v>
      </c>
      <c r="V89" s="14" t="s">
        <v>181</v>
      </c>
      <c r="W89" s="14" t="s">
        <v>176</v>
      </c>
      <c r="X89" s="14" t="s">
        <v>181</v>
      </c>
      <c r="Y89" s="14" t="s">
        <v>181</v>
      </c>
      <c r="Z89" s="14" t="s">
        <v>181</v>
      </c>
      <c r="AL89" t="str">
        <f>IFERROR(_xlfn.XLOOKUP(E89, Branches!$B$2:$B$100, Branches!$C$2:$C$100, "خطأ في الكود"), "")</f>
        <v>Abdul Rahman Mohsen Al Enzi</v>
      </c>
    </row>
    <row r="90" spans="1:38">
      <c r="A90" s="18" t="s">
        <v>220</v>
      </c>
      <c r="B90" s="18">
        <v>80129760</v>
      </c>
      <c r="C90" s="18">
        <v>80129760</v>
      </c>
      <c r="D90" s="18" t="s">
        <v>27</v>
      </c>
      <c r="E90" s="18" t="s">
        <v>111</v>
      </c>
      <c r="F90" s="18" t="s">
        <v>181</v>
      </c>
      <c r="G90" s="18" t="s">
        <v>181</v>
      </c>
      <c r="H90" s="18" t="s">
        <v>176</v>
      </c>
      <c r="I90" s="18" t="s">
        <v>181</v>
      </c>
      <c r="J90" s="18" t="s">
        <v>181</v>
      </c>
      <c r="K90" s="18" t="s">
        <v>181</v>
      </c>
      <c r="L90" s="18" t="s">
        <v>181</v>
      </c>
      <c r="M90" s="18" t="s">
        <v>181</v>
      </c>
      <c r="N90" s="18" t="s">
        <v>181</v>
      </c>
      <c r="O90" s="18" t="s">
        <v>181</v>
      </c>
      <c r="P90" s="18" t="s">
        <v>181</v>
      </c>
      <c r="Q90" s="18" t="s">
        <v>176</v>
      </c>
      <c r="R90" s="18" t="s">
        <v>175</v>
      </c>
      <c r="S90" s="18" t="s">
        <v>175</v>
      </c>
      <c r="T90" s="18" t="s">
        <v>175</v>
      </c>
      <c r="U90" s="18" t="s">
        <v>175</v>
      </c>
      <c r="V90" s="18" t="s">
        <v>175</v>
      </c>
      <c r="W90" s="18" t="s">
        <v>176</v>
      </c>
      <c r="X90" s="18" t="s">
        <v>181</v>
      </c>
      <c r="Y90" s="18" t="s">
        <v>181</v>
      </c>
      <c r="Z90" s="18" t="s">
        <v>181</v>
      </c>
      <c r="AL90" t="str">
        <f>IFERROR(_xlfn.XLOOKUP(E90, Branches!$B$2:$B$100, Branches!$C$2:$C$100, "خطأ في الكود"), "")</f>
        <v>Mohammed Gobran Abdali</v>
      </c>
    </row>
    <row r="91" spans="1:38">
      <c r="A91" s="14" t="s">
        <v>221</v>
      </c>
      <c r="B91" s="14">
        <v>80100787</v>
      </c>
      <c r="C91" s="14">
        <v>80100787</v>
      </c>
      <c r="D91" s="18" t="s">
        <v>18</v>
      </c>
      <c r="E91" s="18" t="s">
        <v>127</v>
      </c>
      <c r="F91" s="19" t="s">
        <v>177</v>
      </c>
      <c r="G91" s="14" t="s">
        <v>175</v>
      </c>
      <c r="H91" s="14" t="s">
        <v>192</v>
      </c>
      <c r="I91" s="14" t="s">
        <v>179</v>
      </c>
      <c r="J91" s="19" t="s">
        <v>177</v>
      </c>
      <c r="K91" s="19" t="s">
        <v>177</v>
      </c>
      <c r="L91" s="14" t="s">
        <v>175</v>
      </c>
      <c r="M91" s="14" t="s">
        <v>175</v>
      </c>
      <c r="N91" s="19" t="s">
        <v>177</v>
      </c>
      <c r="O91" s="15" t="s">
        <v>189</v>
      </c>
      <c r="P91" s="14" t="s">
        <v>176</v>
      </c>
      <c r="Q91" s="19" t="s">
        <v>177</v>
      </c>
      <c r="R91" s="14" t="s">
        <v>192</v>
      </c>
      <c r="S91" s="14" t="s">
        <v>175</v>
      </c>
      <c r="T91" s="19" t="s">
        <v>177</v>
      </c>
      <c r="U91" s="14" t="s">
        <v>192</v>
      </c>
      <c r="V91" s="19" t="s">
        <v>177</v>
      </c>
      <c r="W91" s="14" t="s">
        <v>176</v>
      </c>
      <c r="X91" s="19" t="s">
        <v>177</v>
      </c>
      <c r="Y91" s="19" t="s">
        <v>177</v>
      </c>
      <c r="Z91" s="19" t="s">
        <v>177</v>
      </c>
      <c r="AL91" t="str">
        <f>IFERROR(_xlfn.XLOOKUP(E91, Branches!$B$2:$B$100, Branches!$C$2:$C$100, "خطأ في الكود"), "")</f>
        <v>Zayed Al Subaie</v>
      </c>
    </row>
    <row r="92" spans="1:38">
      <c r="A92" s="18" t="s">
        <v>222</v>
      </c>
      <c r="B92" s="18">
        <v>80121682</v>
      </c>
      <c r="C92" s="18">
        <v>80121682</v>
      </c>
      <c r="D92" s="18" t="s">
        <v>18</v>
      </c>
      <c r="E92" s="18" t="s">
        <v>35</v>
      </c>
      <c r="F92" s="18" t="s">
        <v>175</v>
      </c>
      <c r="G92" s="18" t="s">
        <v>175</v>
      </c>
      <c r="H92" s="18" t="s">
        <v>175</v>
      </c>
      <c r="I92" s="18" t="s">
        <v>181</v>
      </c>
      <c r="J92" s="18" t="s">
        <v>176</v>
      </c>
      <c r="K92" s="19" t="s">
        <v>177</v>
      </c>
      <c r="L92" s="18" t="s">
        <v>175</v>
      </c>
      <c r="M92" s="18" t="s">
        <v>175</v>
      </c>
      <c r="N92" s="19" t="s">
        <v>177</v>
      </c>
      <c r="O92" s="18" t="s">
        <v>175</v>
      </c>
      <c r="P92" s="18" t="s">
        <v>176</v>
      </c>
      <c r="Q92" s="18" t="s">
        <v>175</v>
      </c>
      <c r="R92" s="18" t="s">
        <v>175</v>
      </c>
      <c r="S92" s="18" t="s">
        <v>175</v>
      </c>
      <c r="T92" s="18" t="s">
        <v>175</v>
      </c>
      <c r="U92" s="18" t="s">
        <v>175</v>
      </c>
      <c r="V92" s="18" t="s">
        <v>175</v>
      </c>
      <c r="W92" s="18" t="s">
        <v>176</v>
      </c>
      <c r="X92" s="18" t="s">
        <v>175</v>
      </c>
      <c r="Y92" s="18" t="s">
        <v>175</v>
      </c>
      <c r="Z92" s="18" t="s">
        <v>175</v>
      </c>
      <c r="AL92" t="str">
        <f>IFERROR(_xlfn.XLOOKUP(E92, Branches!$B$2:$B$100, Branches!$C$2:$C$100, "خطأ في الكود"), "")</f>
        <v>Zayed Al Subaie</v>
      </c>
    </row>
    <row r="93" spans="1:38">
      <c r="A93" s="14" t="s">
        <v>136</v>
      </c>
      <c r="B93" s="14">
        <v>80127722</v>
      </c>
      <c r="C93" s="14">
        <v>80127722</v>
      </c>
      <c r="D93" s="18" t="s">
        <v>18</v>
      </c>
      <c r="E93" s="18" t="s">
        <v>137</v>
      </c>
      <c r="F93" s="19" t="s">
        <v>177</v>
      </c>
      <c r="G93" s="14" t="s">
        <v>175</v>
      </c>
      <c r="H93" s="14" t="s">
        <v>175</v>
      </c>
      <c r="I93" s="14" t="s">
        <v>176</v>
      </c>
      <c r="J93" s="14" t="s">
        <v>184</v>
      </c>
      <c r="K93" s="14" t="s">
        <v>175</v>
      </c>
      <c r="L93" s="14" t="s">
        <v>175</v>
      </c>
      <c r="M93" s="14" t="s">
        <v>175</v>
      </c>
      <c r="N93" s="19" t="s">
        <v>177</v>
      </c>
      <c r="O93" s="14" t="s">
        <v>176</v>
      </c>
      <c r="P93" s="14" t="s">
        <v>181</v>
      </c>
      <c r="Q93" s="14" t="s">
        <v>181</v>
      </c>
      <c r="R93" s="19" t="s">
        <v>178</v>
      </c>
      <c r="S93" s="19" t="s">
        <v>178</v>
      </c>
      <c r="T93" s="15" t="s">
        <v>180</v>
      </c>
      <c r="U93" s="14" t="s">
        <v>181</v>
      </c>
      <c r="V93" s="14" t="s">
        <v>179</v>
      </c>
      <c r="W93" s="14" t="s">
        <v>181</v>
      </c>
      <c r="X93" s="15" t="s">
        <v>180</v>
      </c>
      <c r="Y93" s="19" t="s">
        <v>178</v>
      </c>
      <c r="Z93" s="14" t="s">
        <v>181</v>
      </c>
      <c r="AL93" t="str">
        <f>IFERROR(_xlfn.XLOOKUP(E93, Branches!$B$2:$B$100, Branches!$C$2:$C$100, "خطأ في الكود"), "")</f>
        <v>Zayed Al Subaie</v>
      </c>
    </row>
    <row r="94" spans="1:38">
      <c r="A94" s="18" t="s">
        <v>138</v>
      </c>
      <c r="B94" s="18">
        <v>80129791</v>
      </c>
      <c r="C94" s="18">
        <v>80129791</v>
      </c>
      <c r="D94" s="18" t="s">
        <v>27</v>
      </c>
      <c r="E94" s="18" t="s">
        <v>139</v>
      </c>
      <c r="F94" s="18" t="s">
        <v>175</v>
      </c>
      <c r="G94" s="19" t="s">
        <v>177</v>
      </c>
      <c r="H94" s="19" t="s">
        <v>177</v>
      </c>
      <c r="I94" s="18" t="s">
        <v>176</v>
      </c>
      <c r="J94" s="18" t="s">
        <v>175</v>
      </c>
      <c r="K94" s="18" t="s">
        <v>175</v>
      </c>
      <c r="L94" s="18" t="s">
        <v>175</v>
      </c>
      <c r="M94" s="18" t="s">
        <v>175</v>
      </c>
      <c r="N94" s="19" t="s">
        <v>177</v>
      </c>
      <c r="O94" s="19" t="s">
        <v>177</v>
      </c>
      <c r="P94" s="18" t="s">
        <v>176</v>
      </c>
      <c r="Q94" s="19" t="s">
        <v>177</v>
      </c>
      <c r="R94" s="18" t="s">
        <v>175</v>
      </c>
      <c r="S94" s="18" t="s">
        <v>175</v>
      </c>
      <c r="T94" s="18" t="s">
        <v>175</v>
      </c>
      <c r="U94" s="18" t="s">
        <v>175</v>
      </c>
      <c r="V94" s="18" t="s">
        <v>175</v>
      </c>
      <c r="W94" s="18" t="s">
        <v>176</v>
      </c>
      <c r="X94" s="18" t="s">
        <v>175</v>
      </c>
      <c r="Y94" s="19" t="s">
        <v>177</v>
      </c>
      <c r="Z94" s="18" t="s">
        <v>175</v>
      </c>
      <c r="AL94" t="str">
        <f>IFERROR(_xlfn.XLOOKUP(E94, Branches!$B$2:$B$100, Branches!$C$2:$C$100, "خطأ في الكود"), "")</f>
        <v>Mohammed Gobran Abdali</v>
      </c>
    </row>
    <row r="95" spans="1:38">
      <c r="A95" s="14" t="s">
        <v>223</v>
      </c>
      <c r="B95" s="14">
        <v>80125895</v>
      </c>
      <c r="C95" s="14">
        <v>80125895</v>
      </c>
      <c r="D95" s="18" t="s">
        <v>27</v>
      </c>
      <c r="E95" s="18" t="s">
        <v>111</v>
      </c>
      <c r="F95" s="14" t="s">
        <v>181</v>
      </c>
      <c r="G95" s="14" t="s">
        <v>181</v>
      </c>
      <c r="H95" s="14" t="s">
        <v>181</v>
      </c>
      <c r="I95" s="14" t="s">
        <v>176</v>
      </c>
      <c r="J95" s="14" t="s">
        <v>175</v>
      </c>
      <c r="K95" s="14" t="s">
        <v>175</v>
      </c>
      <c r="L95" s="14" t="s">
        <v>175</v>
      </c>
      <c r="M95" s="14" t="s">
        <v>175</v>
      </c>
      <c r="N95" s="14" t="s">
        <v>175</v>
      </c>
      <c r="O95" s="14" t="s">
        <v>175</v>
      </c>
      <c r="P95" s="14" t="s">
        <v>176</v>
      </c>
      <c r="Q95" s="14" t="s">
        <v>175</v>
      </c>
      <c r="R95" s="14" t="s">
        <v>181</v>
      </c>
      <c r="S95" s="14" t="s">
        <v>181</v>
      </c>
      <c r="T95" s="14" t="s">
        <v>181</v>
      </c>
      <c r="U95" s="14" t="s">
        <v>181</v>
      </c>
      <c r="V95" s="14" t="s">
        <v>176</v>
      </c>
      <c r="W95" s="14" t="s">
        <v>181</v>
      </c>
      <c r="X95" s="14" t="s">
        <v>181</v>
      </c>
      <c r="Y95" s="14" t="s">
        <v>181</v>
      </c>
      <c r="Z95" s="14" t="s">
        <v>181</v>
      </c>
      <c r="AL95" t="str">
        <f>IFERROR(_xlfn.XLOOKUP(E95, Branches!$B$2:$B$100, Branches!$C$2:$C$100, "خطأ في الكود"), "")</f>
        <v>Mohammed Gobran Abdali</v>
      </c>
    </row>
    <row r="96" spans="1:38">
      <c r="A96" s="18" t="s">
        <v>226</v>
      </c>
      <c r="B96" s="18">
        <v>80031519</v>
      </c>
      <c r="C96" s="18">
        <v>80031519</v>
      </c>
      <c r="D96" s="18" t="s">
        <v>27</v>
      </c>
      <c r="E96" s="18" t="s">
        <v>79</v>
      </c>
      <c r="F96" s="18" t="s">
        <v>175</v>
      </c>
      <c r="G96" s="18" t="s">
        <v>175</v>
      </c>
      <c r="H96" s="18" t="s">
        <v>175</v>
      </c>
      <c r="I96" s="18" t="s">
        <v>176</v>
      </c>
      <c r="J96" s="18" t="s">
        <v>181</v>
      </c>
      <c r="K96" s="18" t="s">
        <v>175</v>
      </c>
      <c r="L96" s="18" t="s">
        <v>175</v>
      </c>
      <c r="M96" s="18" t="s">
        <v>175</v>
      </c>
      <c r="N96" s="18" t="s">
        <v>175</v>
      </c>
      <c r="O96" s="19" t="s">
        <v>177</v>
      </c>
      <c r="P96" s="18" t="s">
        <v>176</v>
      </c>
      <c r="Q96" s="18" t="s">
        <v>181</v>
      </c>
      <c r="R96" s="18" t="s">
        <v>175</v>
      </c>
      <c r="S96" s="18" t="s">
        <v>175</v>
      </c>
      <c r="T96" s="18" t="s">
        <v>175</v>
      </c>
      <c r="U96" s="18" t="s">
        <v>175</v>
      </c>
      <c r="V96" s="18" t="s">
        <v>175</v>
      </c>
      <c r="W96" s="18" t="s">
        <v>176</v>
      </c>
      <c r="X96" s="18" t="s">
        <v>181</v>
      </c>
      <c r="Y96" s="18" t="s">
        <v>175</v>
      </c>
      <c r="Z96" s="18" t="s">
        <v>175</v>
      </c>
      <c r="AL96" t="str">
        <f>IFERROR(_xlfn.XLOOKUP(E96, Branches!$B$2:$B$100, Branches!$C$2:$C$100, "خطأ في الكود"), "")</f>
        <v>Mohammed Gobran Abdali</v>
      </c>
    </row>
    <row r="97" spans="1:38">
      <c r="A97" s="14" t="s">
        <v>227</v>
      </c>
      <c r="B97" s="14">
        <v>80123750</v>
      </c>
      <c r="C97" s="14">
        <v>80123750</v>
      </c>
      <c r="D97" s="18" t="s">
        <v>18</v>
      </c>
      <c r="E97" s="18" t="s">
        <v>109</v>
      </c>
      <c r="F97" s="19" t="s">
        <v>177</v>
      </c>
      <c r="G97" s="19" t="s">
        <v>177</v>
      </c>
      <c r="H97" s="19" t="s">
        <v>177</v>
      </c>
      <c r="I97" s="14" t="s">
        <v>176</v>
      </c>
      <c r="J97" s="14" t="s">
        <v>181</v>
      </c>
      <c r="K97" s="14" t="s">
        <v>181</v>
      </c>
      <c r="L97" s="14" t="s">
        <v>181</v>
      </c>
      <c r="M97" s="14" t="s">
        <v>181</v>
      </c>
      <c r="N97" s="14" t="s">
        <v>181</v>
      </c>
      <c r="O97" s="15" t="s">
        <v>180</v>
      </c>
      <c r="P97" s="14" t="s">
        <v>176</v>
      </c>
      <c r="Q97" s="14" t="s">
        <v>181</v>
      </c>
      <c r="R97" s="14" t="s">
        <v>181</v>
      </c>
      <c r="S97" s="14" t="s">
        <v>184</v>
      </c>
      <c r="T97" s="14" t="s">
        <v>184</v>
      </c>
      <c r="U97" s="14" t="s">
        <v>184</v>
      </c>
      <c r="V97" s="14" t="s">
        <v>184</v>
      </c>
      <c r="W97" s="14" t="s">
        <v>184</v>
      </c>
      <c r="X97" s="14" t="s">
        <v>184</v>
      </c>
      <c r="Y97" s="14" t="s">
        <v>184</v>
      </c>
      <c r="Z97" s="14" t="s">
        <v>184</v>
      </c>
      <c r="AL97" t="str">
        <f>IFERROR(_xlfn.XLOOKUP(E97, Branches!$B$2:$B$100, Branches!$C$2:$C$100, "خطأ في الكود"), "")</f>
        <v>Zayed Al Subaie</v>
      </c>
    </row>
    <row r="98" spans="1:38">
      <c r="A98" s="18" t="s">
        <v>140</v>
      </c>
      <c r="B98" s="18">
        <v>80125739</v>
      </c>
      <c r="C98" s="18">
        <v>80125739</v>
      </c>
      <c r="D98" s="18" t="s">
        <v>41</v>
      </c>
      <c r="E98" s="18" t="s">
        <v>141</v>
      </c>
      <c r="F98" s="18" t="s">
        <v>181</v>
      </c>
      <c r="G98" s="18" t="s">
        <v>181</v>
      </c>
      <c r="H98" s="18" t="s">
        <v>181</v>
      </c>
      <c r="I98" s="18" t="s">
        <v>184</v>
      </c>
      <c r="J98" s="18" t="s">
        <v>181</v>
      </c>
      <c r="K98" s="18" t="s">
        <v>181</v>
      </c>
      <c r="L98" s="18" t="s">
        <v>181</v>
      </c>
      <c r="M98" s="18" t="s">
        <v>181</v>
      </c>
      <c r="N98" s="18" t="s">
        <v>176</v>
      </c>
      <c r="O98" s="18" t="s">
        <v>181</v>
      </c>
      <c r="P98" s="18" t="s">
        <v>181</v>
      </c>
      <c r="Q98" s="18" t="s">
        <v>181</v>
      </c>
      <c r="R98" s="18" t="s">
        <v>181</v>
      </c>
      <c r="S98" s="18" t="s">
        <v>181</v>
      </c>
      <c r="T98" s="18" t="s">
        <v>181</v>
      </c>
      <c r="U98" s="18" t="s">
        <v>176</v>
      </c>
      <c r="V98" s="18" t="s">
        <v>181</v>
      </c>
      <c r="W98" s="19" t="s">
        <v>178</v>
      </c>
      <c r="X98" s="18" t="s">
        <v>181</v>
      </c>
      <c r="Y98" s="18" t="s">
        <v>181</v>
      </c>
      <c r="Z98" s="18" t="s">
        <v>181</v>
      </c>
      <c r="AL98" t="str">
        <f>IFERROR(_xlfn.XLOOKUP(E98, Branches!$B$2:$B$100, Branches!$C$2:$C$100, "خطأ في الكود"), "")</f>
        <v>Mohammed Al - Gahtani</v>
      </c>
    </row>
    <row r="99" spans="1:38">
      <c r="A99" s="14" t="s">
        <v>142</v>
      </c>
      <c r="B99" s="14">
        <v>80002160</v>
      </c>
      <c r="C99" s="14">
        <v>80002160</v>
      </c>
      <c r="D99" s="18" t="s">
        <v>18</v>
      </c>
      <c r="E99" s="18" t="s">
        <v>143</v>
      </c>
      <c r="F99" s="19" t="s">
        <v>177</v>
      </c>
      <c r="G99" s="14" t="s">
        <v>175</v>
      </c>
      <c r="H99" s="14" t="s">
        <v>192</v>
      </c>
      <c r="I99" s="14" t="s">
        <v>181</v>
      </c>
      <c r="J99" s="14" t="s">
        <v>175</v>
      </c>
      <c r="K99" s="14" t="s">
        <v>175</v>
      </c>
      <c r="L99" s="14" t="s">
        <v>175</v>
      </c>
      <c r="M99" s="14" t="s">
        <v>176</v>
      </c>
      <c r="N99" s="14" t="s">
        <v>175</v>
      </c>
      <c r="O99" s="15" t="s">
        <v>189</v>
      </c>
      <c r="P99" s="14" t="s">
        <v>181</v>
      </c>
      <c r="Q99" s="14" t="s">
        <v>176</v>
      </c>
      <c r="R99" s="14" t="s">
        <v>175</v>
      </c>
      <c r="S99" s="14" t="s">
        <v>175</v>
      </c>
      <c r="T99" s="14" t="s">
        <v>192</v>
      </c>
      <c r="U99" s="14" t="s">
        <v>175</v>
      </c>
      <c r="V99" s="19" t="s">
        <v>177</v>
      </c>
      <c r="W99" s="14" t="s">
        <v>181</v>
      </c>
      <c r="X99" s="14" t="s">
        <v>176</v>
      </c>
      <c r="Y99" s="14" t="s">
        <v>192</v>
      </c>
      <c r="Z99" s="14" t="s">
        <v>175</v>
      </c>
      <c r="AL99" t="str">
        <f>IFERROR(_xlfn.XLOOKUP(E99, Branches!$B$2:$B$100, Branches!$C$2:$C$100, "خطأ في الكود"), "")</f>
        <v>Zayed Al Subaie</v>
      </c>
    </row>
    <row r="100" spans="1:38">
      <c r="A100" s="18" t="s">
        <v>228</v>
      </c>
      <c r="B100" s="18">
        <v>80117079</v>
      </c>
      <c r="C100" s="18">
        <v>80117079</v>
      </c>
      <c r="D100" s="18" t="s">
        <v>30</v>
      </c>
      <c r="E100" s="18" t="s">
        <v>61</v>
      </c>
      <c r="F100" s="19" t="s">
        <v>178</v>
      </c>
      <c r="G100" s="18" t="s">
        <v>181</v>
      </c>
      <c r="H100" s="18" t="s">
        <v>181</v>
      </c>
      <c r="I100" s="18" t="s">
        <v>176</v>
      </c>
      <c r="J100" s="18" t="s">
        <v>175</v>
      </c>
      <c r="K100" s="18" t="s">
        <v>175</v>
      </c>
      <c r="L100" s="18" t="s">
        <v>175</v>
      </c>
      <c r="M100" s="18" t="s">
        <v>175</v>
      </c>
      <c r="N100" s="19" t="s">
        <v>177</v>
      </c>
      <c r="O100" s="18" t="s">
        <v>175</v>
      </c>
      <c r="P100" s="18" t="s">
        <v>176</v>
      </c>
      <c r="Q100" s="18" t="s">
        <v>175</v>
      </c>
      <c r="R100" s="18" t="s">
        <v>175</v>
      </c>
      <c r="S100" s="18" t="s">
        <v>175</v>
      </c>
      <c r="T100" s="18" t="s">
        <v>175</v>
      </c>
      <c r="U100" s="18" t="s">
        <v>175</v>
      </c>
      <c r="V100" s="18" t="s">
        <v>175</v>
      </c>
      <c r="W100" s="18" t="s">
        <v>176</v>
      </c>
      <c r="X100" s="18" t="s">
        <v>175</v>
      </c>
      <c r="Y100" s="18" t="s">
        <v>175</v>
      </c>
      <c r="Z100" s="18" t="s">
        <v>175</v>
      </c>
      <c r="AL100" t="str">
        <f>IFERROR(_xlfn.XLOOKUP(E100, Branches!$B$2:$B$100, Branches!$C$2:$C$100, "خطأ في الكود"), "")</f>
        <v>Abdul Rahman Mohsen Al Enzi</v>
      </c>
    </row>
    <row r="101" spans="1:38">
      <c r="A101" s="14" t="s">
        <v>229</v>
      </c>
      <c r="B101" s="14">
        <v>80100651</v>
      </c>
      <c r="C101" s="14">
        <v>80100651</v>
      </c>
      <c r="D101" s="18" t="s">
        <v>27</v>
      </c>
      <c r="E101" s="18" t="s">
        <v>111</v>
      </c>
      <c r="F101" s="14" t="s">
        <v>181</v>
      </c>
      <c r="G101" s="14" t="s">
        <v>181</v>
      </c>
      <c r="H101" s="14" t="s">
        <v>181</v>
      </c>
      <c r="I101" s="14" t="s">
        <v>176</v>
      </c>
      <c r="J101" s="14" t="s">
        <v>175</v>
      </c>
      <c r="K101" s="14" t="s">
        <v>175</v>
      </c>
      <c r="L101" s="14" t="s">
        <v>175</v>
      </c>
      <c r="M101" s="14" t="s">
        <v>175</v>
      </c>
      <c r="N101" s="19" t="s">
        <v>177</v>
      </c>
      <c r="O101" s="14" t="s">
        <v>175</v>
      </c>
      <c r="P101" s="14" t="s">
        <v>176</v>
      </c>
      <c r="Q101" s="14" t="s">
        <v>181</v>
      </c>
      <c r="R101" s="14" t="s">
        <v>181</v>
      </c>
      <c r="S101" s="14" t="s">
        <v>181</v>
      </c>
      <c r="T101" s="14" t="s">
        <v>181</v>
      </c>
      <c r="U101" s="14" t="s">
        <v>181</v>
      </c>
      <c r="V101" s="14" t="s">
        <v>181</v>
      </c>
      <c r="W101" s="14" t="s">
        <v>176</v>
      </c>
      <c r="X101" s="14" t="s">
        <v>175</v>
      </c>
      <c r="Y101" s="19" t="s">
        <v>177</v>
      </c>
      <c r="Z101" s="19" t="s">
        <v>177</v>
      </c>
      <c r="AL101" t="str">
        <f>IFERROR(_xlfn.XLOOKUP(E101, Branches!$B$2:$B$100, Branches!$C$2:$C$100, "خطأ في الكود"), "")</f>
        <v>Mohammed Gobran Abdali</v>
      </c>
    </row>
    <row r="102" spans="1:38">
      <c r="A102" s="18" t="s">
        <v>230</v>
      </c>
      <c r="B102" s="18">
        <v>80123931</v>
      </c>
      <c r="C102" s="18">
        <v>80123931</v>
      </c>
      <c r="D102" s="18" t="s">
        <v>18</v>
      </c>
      <c r="E102" s="18" t="s">
        <v>127</v>
      </c>
      <c r="F102" s="18" t="s">
        <v>175</v>
      </c>
      <c r="G102" s="18" t="s">
        <v>175</v>
      </c>
      <c r="H102" s="18" t="s">
        <v>181</v>
      </c>
      <c r="I102" s="18" t="s">
        <v>176</v>
      </c>
      <c r="J102" s="18" t="s">
        <v>181</v>
      </c>
      <c r="K102" s="18" t="s">
        <v>175</v>
      </c>
      <c r="L102" s="18" t="s">
        <v>175</v>
      </c>
      <c r="M102" s="18" t="s">
        <v>175</v>
      </c>
      <c r="N102" s="19" t="s">
        <v>177</v>
      </c>
      <c r="O102" s="18" t="s">
        <v>181</v>
      </c>
      <c r="P102" s="18" t="s">
        <v>176</v>
      </c>
      <c r="Q102" s="18" t="s">
        <v>181</v>
      </c>
      <c r="R102" s="18" t="s">
        <v>175</v>
      </c>
      <c r="S102" s="18" t="s">
        <v>175</v>
      </c>
      <c r="T102" s="18" t="s">
        <v>175</v>
      </c>
      <c r="U102" s="18" t="s">
        <v>175</v>
      </c>
      <c r="V102" s="18" t="s">
        <v>181</v>
      </c>
      <c r="W102" s="18" t="s">
        <v>176</v>
      </c>
      <c r="X102" s="18" t="s">
        <v>181</v>
      </c>
      <c r="Y102" s="18" t="s">
        <v>192</v>
      </c>
      <c r="Z102" s="18" t="s">
        <v>175</v>
      </c>
      <c r="AL102" t="str">
        <f>IFERROR(_xlfn.XLOOKUP(E102, Branches!$B$2:$B$100, Branches!$C$2:$C$100, "خطأ في الكود"), "")</f>
        <v>Zayed Al Subaie</v>
      </c>
    </row>
    <row r="103" spans="1:38">
      <c r="A103" s="14" t="s">
        <v>231</v>
      </c>
      <c r="B103" s="14">
        <v>80079475</v>
      </c>
      <c r="C103" s="14">
        <v>80079475</v>
      </c>
      <c r="D103" s="18" t="s">
        <v>18</v>
      </c>
      <c r="E103" s="18" t="s">
        <v>25</v>
      </c>
      <c r="F103" s="14" t="s">
        <v>181</v>
      </c>
      <c r="G103" s="14" t="s">
        <v>181</v>
      </c>
      <c r="H103" s="14" t="s">
        <v>176</v>
      </c>
      <c r="I103" s="14" t="s">
        <v>181</v>
      </c>
      <c r="J103" s="14" t="s">
        <v>181</v>
      </c>
      <c r="K103" s="14" t="s">
        <v>181</v>
      </c>
      <c r="L103" s="14" t="s">
        <v>181</v>
      </c>
      <c r="M103" s="14" t="s">
        <v>181</v>
      </c>
      <c r="N103" s="14" t="s">
        <v>181</v>
      </c>
      <c r="O103" s="15" t="s">
        <v>180</v>
      </c>
      <c r="P103" s="14" t="s">
        <v>176</v>
      </c>
      <c r="Q103" s="19" t="s">
        <v>178</v>
      </c>
      <c r="R103" s="19" t="s">
        <v>178</v>
      </c>
      <c r="S103" s="14" t="s">
        <v>181</v>
      </c>
      <c r="T103" s="14" t="s">
        <v>181</v>
      </c>
      <c r="U103" s="14" t="s">
        <v>175</v>
      </c>
      <c r="V103" s="14" t="s">
        <v>175</v>
      </c>
      <c r="W103" s="14" t="s">
        <v>176</v>
      </c>
      <c r="X103" s="14" t="s">
        <v>175</v>
      </c>
      <c r="Y103" s="14" t="s">
        <v>175</v>
      </c>
      <c r="Z103" s="14" t="s">
        <v>175</v>
      </c>
      <c r="AL103" t="str">
        <f>IFERROR(_xlfn.XLOOKUP(E103, Branches!$B$2:$B$100, Branches!$C$2:$C$100, "خطأ في الكود"), "")</f>
        <v>Zayed Al Subaie</v>
      </c>
    </row>
    <row r="104" spans="1:38">
      <c r="A104" s="18" t="s">
        <v>232</v>
      </c>
      <c r="B104" s="18">
        <v>80129023</v>
      </c>
      <c r="C104" s="18">
        <v>80129023</v>
      </c>
      <c r="D104" s="18" t="s">
        <v>41</v>
      </c>
      <c r="E104" s="18" t="s">
        <v>42</v>
      </c>
      <c r="F104" s="18" t="s">
        <v>175</v>
      </c>
      <c r="G104" s="18" t="s">
        <v>175</v>
      </c>
      <c r="H104" s="18" t="s">
        <v>175</v>
      </c>
      <c r="I104" s="18" t="s">
        <v>176</v>
      </c>
      <c r="J104" s="18" t="s">
        <v>175</v>
      </c>
      <c r="K104" s="18" t="s">
        <v>175</v>
      </c>
      <c r="L104" s="18" t="s">
        <v>181</v>
      </c>
      <c r="M104" s="18" t="s">
        <v>181</v>
      </c>
      <c r="N104" s="18" t="s">
        <v>181</v>
      </c>
      <c r="O104" s="18" t="s">
        <v>181</v>
      </c>
      <c r="P104" s="18" t="s">
        <v>181</v>
      </c>
      <c r="Q104" s="18" t="s">
        <v>176</v>
      </c>
      <c r="R104" s="18" t="s">
        <v>175</v>
      </c>
      <c r="S104" s="18" t="s">
        <v>175</v>
      </c>
      <c r="T104" s="18" t="s">
        <v>175</v>
      </c>
      <c r="U104" s="18" t="s">
        <v>175</v>
      </c>
      <c r="V104" s="18" t="s">
        <v>175</v>
      </c>
      <c r="W104" s="18" t="s">
        <v>176</v>
      </c>
      <c r="X104" s="18" t="s">
        <v>181</v>
      </c>
      <c r="Y104" s="18" t="s">
        <v>181</v>
      </c>
      <c r="Z104" s="18" t="s">
        <v>181</v>
      </c>
      <c r="AL104" t="str">
        <f>IFERROR(_xlfn.XLOOKUP(E104, Branches!$B$2:$B$100, Branches!$C$2:$C$100, "خطأ في الكود"), "")</f>
        <v>Mohammed Al - Gahtani</v>
      </c>
    </row>
    <row r="105" spans="1:38">
      <c r="A105" s="14" t="s">
        <v>233</v>
      </c>
      <c r="B105" s="14">
        <v>80043153</v>
      </c>
      <c r="C105" s="14">
        <v>80043153</v>
      </c>
      <c r="D105" s="18" t="s">
        <v>27</v>
      </c>
      <c r="E105" s="18" t="s">
        <v>28</v>
      </c>
      <c r="F105" s="14" t="s">
        <v>175</v>
      </c>
      <c r="G105" s="14" t="s">
        <v>175</v>
      </c>
      <c r="H105" s="14" t="s">
        <v>176</v>
      </c>
      <c r="I105" s="14" t="s">
        <v>181</v>
      </c>
      <c r="J105" s="19" t="s">
        <v>177</v>
      </c>
      <c r="K105" s="14" t="s">
        <v>175</v>
      </c>
      <c r="L105" s="14" t="s">
        <v>175</v>
      </c>
      <c r="M105" s="14" t="s">
        <v>175</v>
      </c>
      <c r="N105" s="19" t="s">
        <v>177</v>
      </c>
      <c r="O105" s="14" t="s">
        <v>176</v>
      </c>
      <c r="P105" s="14" t="s">
        <v>181</v>
      </c>
      <c r="Q105" s="14" t="s">
        <v>175</v>
      </c>
      <c r="R105" s="14" t="s">
        <v>175</v>
      </c>
      <c r="S105" s="14" t="s">
        <v>175</v>
      </c>
      <c r="T105" s="14" t="s">
        <v>175</v>
      </c>
      <c r="U105" s="14" t="s">
        <v>175</v>
      </c>
      <c r="V105" s="14" t="s">
        <v>176</v>
      </c>
      <c r="W105" s="14" t="s">
        <v>181</v>
      </c>
      <c r="X105" s="14" t="s">
        <v>175</v>
      </c>
      <c r="Y105" s="14" t="s">
        <v>175</v>
      </c>
      <c r="Z105" s="14" t="s">
        <v>175</v>
      </c>
      <c r="AL105" t="str">
        <f>IFERROR(_xlfn.XLOOKUP(E105, Branches!$B$2:$B$100, Branches!$C$2:$C$100, "خطأ في الكود"), "")</f>
        <v>Mohammed Gobran Abdali</v>
      </c>
    </row>
    <row r="106" spans="1:38">
      <c r="A106" s="18" t="s">
        <v>144</v>
      </c>
      <c r="B106" s="18">
        <v>80064519</v>
      </c>
      <c r="C106" s="18">
        <v>80064519</v>
      </c>
      <c r="D106" s="18" t="s">
        <v>18</v>
      </c>
      <c r="E106" s="18" t="s">
        <v>145</v>
      </c>
      <c r="F106" s="18" t="s">
        <v>175</v>
      </c>
      <c r="G106" s="19" t="s">
        <v>177</v>
      </c>
      <c r="H106" s="18" t="s">
        <v>175</v>
      </c>
      <c r="I106" s="18" t="s">
        <v>176</v>
      </c>
      <c r="J106" s="18" t="s">
        <v>184</v>
      </c>
      <c r="K106" s="18" t="s">
        <v>175</v>
      </c>
      <c r="L106" s="18" t="s">
        <v>175</v>
      </c>
      <c r="M106" s="18" t="s">
        <v>175</v>
      </c>
      <c r="N106" s="19" t="s">
        <v>177</v>
      </c>
      <c r="O106" s="18" t="s">
        <v>175</v>
      </c>
      <c r="P106" s="18" t="s">
        <v>176</v>
      </c>
      <c r="Q106" s="18" t="s">
        <v>175</v>
      </c>
      <c r="R106" s="18" t="s">
        <v>175</v>
      </c>
      <c r="S106" s="18" t="s">
        <v>175</v>
      </c>
      <c r="T106" s="19" t="s">
        <v>177</v>
      </c>
      <c r="U106" s="18" t="s">
        <v>175</v>
      </c>
      <c r="V106" s="18" t="s">
        <v>175</v>
      </c>
      <c r="W106" s="18" t="s">
        <v>176</v>
      </c>
      <c r="X106" s="19" t="s">
        <v>177</v>
      </c>
      <c r="Y106" s="19" t="s">
        <v>177</v>
      </c>
      <c r="Z106" s="19" t="s">
        <v>177</v>
      </c>
      <c r="AL106" t="str">
        <f>IFERROR(_xlfn.XLOOKUP(E106, Branches!$B$2:$B$100, Branches!$C$2:$C$100, "خطأ في الكود"), "")</f>
        <v>Zayed Al Subaie</v>
      </c>
    </row>
    <row r="107" spans="1:38">
      <c r="A107" s="14" t="s">
        <v>146</v>
      </c>
      <c r="B107" s="14">
        <v>80114051</v>
      </c>
      <c r="C107" s="14">
        <v>80114051</v>
      </c>
      <c r="D107" s="18" t="s">
        <v>30</v>
      </c>
      <c r="E107" s="18" t="s">
        <v>147</v>
      </c>
      <c r="F107" s="14" t="s">
        <v>175</v>
      </c>
      <c r="G107" s="19" t="s">
        <v>177</v>
      </c>
      <c r="H107" s="14" t="s">
        <v>205</v>
      </c>
      <c r="I107" s="14" t="s">
        <v>176</v>
      </c>
      <c r="J107" s="19" t="s">
        <v>177</v>
      </c>
      <c r="K107" s="14" t="s">
        <v>175</v>
      </c>
      <c r="L107" s="14" t="s">
        <v>175</v>
      </c>
      <c r="M107" s="14" t="s">
        <v>175</v>
      </c>
      <c r="N107" s="14" t="s">
        <v>175</v>
      </c>
      <c r="O107" s="14" t="s">
        <v>181</v>
      </c>
      <c r="P107" s="14" t="s">
        <v>176</v>
      </c>
      <c r="Q107" s="14" t="s">
        <v>175</v>
      </c>
      <c r="R107" s="19" t="s">
        <v>177</v>
      </c>
      <c r="S107" s="19" t="s">
        <v>177</v>
      </c>
      <c r="T107" s="14" t="s">
        <v>175</v>
      </c>
      <c r="U107" s="14" t="s">
        <v>175</v>
      </c>
      <c r="V107" s="14" t="s">
        <v>175</v>
      </c>
      <c r="W107" s="14" t="s">
        <v>179</v>
      </c>
      <c r="X107" s="14" t="s">
        <v>175</v>
      </c>
      <c r="Y107" s="19" t="s">
        <v>177</v>
      </c>
      <c r="Z107" s="19" t="s">
        <v>177</v>
      </c>
      <c r="AL107" t="str">
        <f>IFERROR(_xlfn.XLOOKUP(E107, Branches!$B$2:$B$100, Branches!$C$2:$C$100, "خطأ في الكود"), "")</f>
        <v>Abdul Rahman Mohsen Al Enzi</v>
      </c>
    </row>
    <row r="108" spans="1:38">
      <c r="A108" s="18" t="s">
        <v>444</v>
      </c>
      <c r="B108" s="18">
        <v>80130346</v>
      </c>
      <c r="C108" s="18">
        <v>80130346</v>
      </c>
      <c r="D108" s="18" t="e">
        <v>#N/A</v>
      </c>
      <c r="E108" s="18" t="e">
        <v>#N/A</v>
      </c>
      <c r="F108" s="18" t="s">
        <v>184</v>
      </c>
      <c r="G108" s="18" t="s">
        <v>184</v>
      </c>
      <c r="H108" s="18" t="s">
        <v>184</v>
      </c>
      <c r="I108" s="18" t="s">
        <v>184</v>
      </c>
      <c r="J108" s="18" t="s">
        <v>184</v>
      </c>
      <c r="K108" s="18" t="s">
        <v>184</v>
      </c>
      <c r="L108" s="18" t="s">
        <v>184</v>
      </c>
      <c r="M108" s="18" t="s">
        <v>184</v>
      </c>
      <c r="N108" s="18" t="s">
        <v>184</v>
      </c>
      <c r="O108" s="18" t="s">
        <v>184</v>
      </c>
      <c r="P108" s="18" t="s">
        <v>184</v>
      </c>
      <c r="Q108" s="18" t="s">
        <v>184</v>
      </c>
      <c r="R108" s="18" t="s">
        <v>184</v>
      </c>
      <c r="S108" s="18" t="s">
        <v>184</v>
      </c>
      <c r="T108" s="18" t="s">
        <v>184</v>
      </c>
      <c r="U108" s="18" t="s">
        <v>184</v>
      </c>
      <c r="V108" s="18" t="s">
        <v>184</v>
      </c>
      <c r="W108" s="18" t="s">
        <v>184</v>
      </c>
      <c r="X108" s="18" t="s">
        <v>184</v>
      </c>
      <c r="Y108" s="15" t="s">
        <v>189</v>
      </c>
      <c r="Z108" s="15" t="s">
        <v>189</v>
      </c>
      <c r="AL108" t="str">
        <f>IFERROR(_xlfn.XLOOKUP(E108, Branches!$B$2:$B$100, Branches!$C$2:$C$100, "خطأ في الكود"), "")</f>
        <v/>
      </c>
    </row>
    <row r="109" spans="1:38">
      <c r="A109" s="14" t="s">
        <v>234</v>
      </c>
      <c r="B109" s="14">
        <v>80115112</v>
      </c>
      <c r="C109" s="14">
        <v>80115112</v>
      </c>
      <c r="D109" s="18" t="s">
        <v>18</v>
      </c>
      <c r="E109" s="18" t="s">
        <v>39</v>
      </c>
      <c r="F109" s="14" t="s">
        <v>175</v>
      </c>
      <c r="G109" s="14" t="s">
        <v>175</v>
      </c>
      <c r="H109" s="14" t="s">
        <v>176</v>
      </c>
      <c r="I109" s="14" t="s">
        <v>181</v>
      </c>
      <c r="J109" s="14" t="s">
        <v>181</v>
      </c>
      <c r="K109" s="14" t="s">
        <v>181</v>
      </c>
      <c r="L109" s="14" t="s">
        <v>181</v>
      </c>
      <c r="M109" s="14" t="s">
        <v>181</v>
      </c>
      <c r="N109" s="14" t="s">
        <v>181</v>
      </c>
      <c r="O109" s="14" t="s">
        <v>176</v>
      </c>
      <c r="P109" s="14" t="s">
        <v>181</v>
      </c>
      <c r="Q109" s="14" t="s">
        <v>181</v>
      </c>
      <c r="R109" s="14" t="s">
        <v>181</v>
      </c>
      <c r="S109" s="14" t="s">
        <v>181</v>
      </c>
      <c r="T109" s="14" t="s">
        <v>181</v>
      </c>
      <c r="U109" s="14" t="s">
        <v>181</v>
      </c>
      <c r="V109" s="14" t="s">
        <v>181</v>
      </c>
      <c r="W109" s="14" t="s">
        <v>176</v>
      </c>
      <c r="X109" s="14" t="s">
        <v>175</v>
      </c>
      <c r="Y109" s="14" t="s">
        <v>175</v>
      </c>
      <c r="Z109" s="14" t="s">
        <v>175</v>
      </c>
      <c r="AL109" t="str">
        <f>IFERROR(_xlfn.XLOOKUP(E109, Branches!$B$2:$B$100, Branches!$C$2:$C$100, "خطأ في الكود"), "")</f>
        <v>Othman Al Sagri</v>
      </c>
    </row>
    <row r="110" spans="1:38">
      <c r="A110" s="18" t="s">
        <v>235</v>
      </c>
      <c r="B110" s="18">
        <v>80016041</v>
      </c>
      <c r="C110" s="18">
        <v>80016041</v>
      </c>
      <c r="D110" s="18" t="s">
        <v>171</v>
      </c>
      <c r="E110" s="18" t="s">
        <v>99</v>
      </c>
      <c r="F110" s="18" t="s">
        <v>179</v>
      </c>
      <c r="G110" s="18" t="s">
        <v>181</v>
      </c>
      <c r="H110" s="18" t="s">
        <v>181</v>
      </c>
      <c r="I110" s="18" t="s">
        <v>181</v>
      </c>
      <c r="J110" s="18" t="s">
        <v>176</v>
      </c>
      <c r="K110" s="18" t="s">
        <v>175</v>
      </c>
      <c r="L110" s="18" t="s">
        <v>175</v>
      </c>
      <c r="M110" s="18" t="s">
        <v>175</v>
      </c>
      <c r="N110" s="18" t="s">
        <v>175</v>
      </c>
      <c r="O110" s="18" t="s">
        <v>175</v>
      </c>
      <c r="P110" s="18" t="s">
        <v>176</v>
      </c>
      <c r="Q110" s="18" t="s">
        <v>277</v>
      </c>
      <c r="R110" s="18" t="s">
        <v>181</v>
      </c>
      <c r="S110" s="18" t="s">
        <v>181</v>
      </c>
      <c r="T110" s="18" t="s">
        <v>181</v>
      </c>
      <c r="U110" s="18" t="s">
        <v>181</v>
      </c>
      <c r="V110" s="18" t="s">
        <v>277</v>
      </c>
      <c r="W110" s="18" t="s">
        <v>181</v>
      </c>
      <c r="X110" s="18" t="s">
        <v>176</v>
      </c>
      <c r="Y110" s="18" t="s">
        <v>175</v>
      </c>
      <c r="Z110" s="18" t="s">
        <v>175</v>
      </c>
      <c r="AL110" t="str">
        <f>IFERROR(_xlfn.XLOOKUP(E110, Branches!$B$2:$B$100, Branches!$C$2:$C$100, "خطأ في الكود"), "")</f>
        <v>Othman Al Sagri</v>
      </c>
    </row>
    <row r="111" spans="1:38">
      <c r="A111" s="14" t="s">
        <v>236</v>
      </c>
      <c r="B111" s="14">
        <v>80122914</v>
      </c>
      <c r="C111" s="14">
        <v>80122914</v>
      </c>
      <c r="D111" s="18" t="s">
        <v>27</v>
      </c>
      <c r="E111" s="18" t="s">
        <v>79</v>
      </c>
      <c r="F111" s="14" t="s">
        <v>184</v>
      </c>
      <c r="G111" s="14" t="s">
        <v>184</v>
      </c>
      <c r="H111" s="14" t="s">
        <v>184</v>
      </c>
      <c r="I111" s="14" t="s">
        <v>184</v>
      </c>
      <c r="J111" s="14" t="s">
        <v>184</v>
      </c>
      <c r="K111" s="14" t="s">
        <v>184</v>
      </c>
      <c r="L111" s="14" t="s">
        <v>184</v>
      </c>
      <c r="M111" s="14" t="s">
        <v>184</v>
      </c>
      <c r="N111" s="14" t="s">
        <v>184</v>
      </c>
      <c r="O111" s="14" t="s">
        <v>184</v>
      </c>
      <c r="P111" s="14" t="s">
        <v>181</v>
      </c>
      <c r="Q111" s="19" t="s">
        <v>177</v>
      </c>
      <c r="R111" s="14" t="s">
        <v>175</v>
      </c>
      <c r="S111" s="14" t="s">
        <v>175</v>
      </c>
      <c r="T111" s="19" t="s">
        <v>177</v>
      </c>
      <c r="U111" s="14" t="s">
        <v>176</v>
      </c>
      <c r="V111" s="14" t="s">
        <v>181</v>
      </c>
      <c r="W111" s="14" t="s">
        <v>181</v>
      </c>
      <c r="X111" s="14" t="s">
        <v>175</v>
      </c>
      <c r="Y111" s="19" t="s">
        <v>177</v>
      </c>
      <c r="Z111" s="19" t="s">
        <v>177</v>
      </c>
      <c r="AL111" t="str">
        <f>IFERROR(_xlfn.XLOOKUP(E111, Branches!$B$2:$B$100, Branches!$C$2:$C$100, "خطأ في الكود"), "")</f>
        <v>Mohammed Gobran Abdali</v>
      </c>
    </row>
    <row r="112" spans="1:38">
      <c r="A112" s="18" t="s">
        <v>237</v>
      </c>
      <c r="B112" s="18">
        <v>80123293</v>
      </c>
      <c r="C112" s="18">
        <v>80123293</v>
      </c>
      <c r="D112" s="18" t="s">
        <v>18</v>
      </c>
      <c r="E112" s="18" t="s">
        <v>145</v>
      </c>
      <c r="F112" s="18" t="s">
        <v>175</v>
      </c>
      <c r="G112" s="18" t="s">
        <v>175</v>
      </c>
      <c r="H112" s="18" t="s">
        <v>175</v>
      </c>
      <c r="I112" s="18" t="s">
        <v>176</v>
      </c>
      <c r="J112" s="18" t="s">
        <v>175</v>
      </c>
      <c r="K112" s="18" t="s">
        <v>175</v>
      </c>
      <c r="L112" s="18" t="s">
        <v>175</v>
      </c>
      <c r="M112" s="18" t="s">
        <v>175</v>
      </c>
      <c r="N112" s="19" t="s">
        <v>177</v>
      </c>
      <c r="O112" s="18" t="s">
        <v>205</v>
      </c>
      <c r="P112" s="18" t="s">
        <v>176</v>
      </c>
      <c r="Q112" s="18" t="s">
        <v>175</v>
      </c>
      <c r="R112" s="18" t="s">
        <v>175</v>
      </c>
      <c r="S112" s="18" t="s">
        <v>175</v>
      </c>
      <c r="T112" s="18" t="s">
        <v>175</v>
      </c>
      <c r="U112" s="18" t="s">
        <v>175</v>
      </c>
      <c r="V112" s="18" t="s">
        <v>175</v>
      </c>
      <c r="W112" s="18" t="s">
        <v>176</v>
      </c>
      <c r="X112" s="18" t="s">
        <v>175</v>
      </c>
      <c r="Y112" s="18" t="s">
        <v>175</v>
      </c>
      <c r="Z112" s="18" t="s">
        <v>175</v>
      </c>
      <c r="AL112" t="str">
        <f>IFERROR(_xlfn.XLOOKUP(E112, Branches!$B$2:$B$100, Branches!$C$2:$C$100, "خطأ في الكود"), "")</f>
        <v>Zayed Al Subaie</v>
      </c>
    </row>
    <row r="113" spans="1:38">
      <c r="A113" s="14" t="s">
        <v>238</v>
      </c>
      <c r="B113" s="14">
        <v>80114193</v>
      </c>
      <c r="C113" s="14">
        <v>80114193</v>
      </c>
      <c r="D113" s="18" t="s">
        <v>18</v>
      </c>
      <c r="E113" s="18" t="s">
        <v>109</v>
      </c>
      <c r="F113" s="14" t="s">
        <v>184</v>
      </c>
      <c r="G113" s="14" t="s">
        <v>175</v>
      </c>
      <c r="H113" s="14" t="s">
        <v>175</v>
      </c>
      <c r="I113" s="14" t="s">
        <v>176</v>
      </c>
      <c r="J113" s="19" t="s">
        <v>177</v>
      </c>
      <c r="K113" s="19" t="s">
        <v>177</v>
      </c>
      <c r="L113" s="14" t="s">
        <v>175</v>
      </c>
      <c r="M113" s="14" t="s">
        <v>175</v>
      </c>
      <c r="N113" s="19" t="s">
        <v>177</v>
      </c>
      <c r="O113" s="14" t="s">
        <v>184</v>
      </c>
      <c r="P113" s="14" t="s">
        <v>176</v>
      </c>
      <c r="Q113" s="14" t="s">
        <v>175</v>
      </c>
      <c r="R113" s="14" t="s">
        <v>175</v>
      </c>
      <c r="S113" s="19" t="s">
        <v>177</v>
      </c>
      <c r="T113" s="14" t="s">
        <v>175</v>
      </c>
      <c r="U113" s="19" t="s">
        <v>177</v>
      </c>
      <c r="V113" s="14" t="s">
        <v>175</v>
      </c>
      <c r="W113" s="14" t="s">
        <v>176</v>
      </c>
      <c r="X113" s="14" t="s">
        <v>175</v>
      </c>
      <c r="Y113" s="19" t="s">
        <v>177</v>
      </c>
      <c r="Z113" s="19" t="s">
        <v>177</v>
      </c>
      <c r="AL113" t="str">
        <f>IFERROR(_xlfn.XLOOKUP(E113, Branches!$B$2:$B$100, Branches!$C$2:$C$100, "خطأ في الكود"), "")</f>
        <v>Zayed Al Subaie</v>
      </c>
    </row>
    <row r="114" spans="1:38">
      <c r="A114" s="18" t="s">
        <v>445</v>
      </c>
      <c r="B114" s="18">
        <v>80130358</v>
      </c>
      <c r="C114" s="18">
        <v>80130358</v>
      </c>
      <c r="D114" s="18" t="e">
        <v>#N/A</v>
      </c>
      <c r="E114" s="18" t="e">
        <v>#N/A</v>
      </c>
      <c r="F114" s="15" t="s">
        <v>189</v>
      </c>
      <c r="G114" s="15" t="s">
        <v>189</v>
      </c>
      <c r="H114" s="15" t="s">
        <v>189</v>
      </c>
      <c r="I114" s="18" t="s">
        <v>176</v>
      </c>
      <c r="J114" s="18" t="s">
        <v>176</v>
      </c>
      <c r="K114" s="15" t="s">
        <v>189</v>
      </c>
      <c r="L114" s="15" t="s">
        <v>189</v>
      </c>
      <c r="M114" s="15" t="s">
        <v>189</v>
      </c>
      <c r="N114" s="15" t="s">
        <v>189</v>
      </c>
      <c r="O114" s="15" t="s">
        <v>189</v>
      </c>
      <c r="P114" s="18" t="s">
        <v>176</v>
      </c>
      <c r="Q114" s="18" t="s">
        <v>176</v>
      </c>
      <c r="R114" s="15" t="s">
        <v>189</v>
      </c>
      <c r="S114" s="15" t="s">
        <v>189</v>
      </c>
      <c r="T114" s="15" t="s">
        <v>189</v>
      </c>
      <c r="U114" s="15" t="s">
        <v>189</v>
      </c>
      <c r="V114" s="15" t="s">
        <v>189</v>
      </c>
      <c r="W114" s="18" t="s">
        <v>176</v>
      </c>
      <c r="X114" s="18" t="s">
        <v>176</v>
      </c>
      <c r="Y114" s="15" t="s">
        <v>189</v>
      </c>
      <c r="Z114" s="15" t="s">
        <v>189</v>
      </c>
      <c r="AL114" t="str">
        <f>IFERROR(_xlfn.XLOOKUP(E114, Branches!$B$2:$B$100, Branches!$C$2:$C$100, "خطأ في الكود"), "")</f>
        <v/>
      </c>
    </row>
    <row r="115" spans="1:38">
      <c r="A115" s="14" t="s">
        <v>148</v>
      </c>
      <c r="B115" s="14">
        <v>80002499</v>
      </c>
      <c r="C115" s="14">
        <v>80002499</v>
      </c>
      <c r="D115" s="18" t="s">
        <v>30</v>
      </c>
      <c r="E115" s="18" t="s">
        <v>149</v>
      </c>
      <c r="F115" s="14" t="s">
        <v>181</v>
      </c>
      <c r="G115" s="14" t="s">
        <v>181</v>
      </c>
      <c r="H115" s="14" t="s">
        <v>181</v>
      </c>
      <c r="I115" s="14" t="s">
        <v>176</v>
      </c>
      <c r="J115" s="14" t="s">
        <v>181</v>
      </c>
      <c r="K115" s="14" t="s">
        <v>181</v>
      </c>
      <c r="L115" s="14" t="s">
        <v>181</v>
      </c>
      <c r="M115" s="14" t="s">
        <v>181</v>
      </c>
      <c r="N115" s="14" t="s">
        <v>181</v>
      </c>
      <c r="O115" s="15" t="s">
        <v>180</v>
      </c>
      <c r="P115" s="14" t="s">
        <v>176</v>
      </c>
      <c r="Q115" s="19" t="s">
        <v>178</v>
      </c>
      <c r="R115" s="14" t="s">
        <v>181</v>
      </c>
      <c r="S115" s="14" t="s">
        <v>181</v>
      </c>
      <c r="T115" s="14" t="s">
        <v>181</v>
      </c>
      <c r="U115" s="14" t="s">
        <v>181</v>
      </c>
      <c r="V115" s="14" t="s">
        <v>181</v>
      </c>
      <c r="W115" s="14" t="s">
        <v>176</v>
      </c>
      <c r="X115" s="14" t="s">
        <v>181</v>
      </c>
      <c r="Y115" s="14" t="s">
        <v>181</v>
      </c>
      <c r="Z115" s="14" t="s">
        <v>181</v>
      </c>
      <c r="AL115" t="str">
        <f>IFERROR(_xlfn.XLOOKUP(E115, Branches!$B$2:$B$100, Branches!$C$2:$C$100, "خطأ في الكود"), "")</f>
        <v>Bandar Garziz</v>
      </c>
    </row>
    <row r="116" spans="1:38">
      <c r="A116" s="18" t="s">
        <v>239</v>
      </c>
      <c r="B116" s="18">
        <v>80118662</v>
      </c>
      <c r="C116" s="18">
        <v>80118662</v>
      </c>
      <c r="D116" s="18" t="s">
        <v>30</v>
      </c>
      <c r="E116" s="18" t="s">
        <v>133</v>
      </c>
      <c r="F116" s="18" t="s">
        <v>184</v>
      </c>
      <c r="G116" s="18" t="s">
        <v>184</v>
      </c>
      <c r="H116" s="18" t="s">
        <v>184</v>
      </c>
      <c r="I116" s="18" t="s">
        <v>176</v>
      </c>
      <c r="J116" s="18" t="s">
        <v>181</v>
      </c>
      <c r="K116" s="18" t="s">
        <v>181</v>
      </c>
      <c r="L116" s="18" t="s">
        <v>181</v>
      </c>
      <c r="M116" s="18" t="s">
        <v>181</v>
      </c>
      <c r="N116" s="18" t="s">
        <v>181</v>
      </c>
      <c r="O116" s="18" t="s">
        <v>181</v>
      </c>
      <c r="P116" s="18" t="s">
        <v>176</v>
      </c>
      <c r="Q116" s="18" t="s">
        <v>181</v>
      </c>
      <c r="R116" s="18" t="s">
        <v>181</v>
      </c>
      <c r="S116" s="18" t="s">
        <v>181</v>
      </c>
      <c r="T116" s="18" t="s">
        <v>181</v>
      </c>
      <c r="U116" s="18" t="s">
        <v>181</v>
      </c>
      <c r="V116" s="18" t="s">
        <v>181</v>
      </c>
      <c r="W116" s="18" t="s">
        <v>176</v>
      </c>
      <c r="X116" s="18" t="s">
        <v>181</v>
      </c>
      <c r="Y116" s="18" t="s">
        <v>181</v>
      </c>
      <c r="Z116" s="18" t="s">
        <v>181</v>
      </c>
      <c r="AL116" t="str">
        <f>IFERROR(_xlfn.XLOOKUP(E116, Branches!$B$2:$B$100, Branches!$C$2:$C$100, "خطأ في الكود"), "")</f>
        <v>Bandar Garziz</v>
      </c>
    </row>
    <row r="117" spans="1:38">
      <c r="A117" s="14" t="s">
        <v>240</v>
      </c>
      <c r="B117" s="14">
        <v>80087261</v>
      </c>
      <c r="C117" s="14">
        <v>80087261</v>
      </c>
      <c r="D117" s="18" t="s">
        <v>18</v>
      </c>
      <c r="E117" s="18" t="s">
        <v>125</v>
      </c>
      <c r="F117" s="19" t="s">
        <v>178</v>
      </c>
      <c r="G117" s="19" t="s">
        <v>178</v>
      </c>
      <c r="H117" s="19" t="s">
        <v>178</v>
      </c>
      <c r="I117" s="14" t="s">
        <v>176</v>
      </c>
      <c r="J117" s="19" t="s">
        <v>178</v>
      </c>
      <c r="K117" s="19" t="s">
        <v>178</v>
      </c>
      <c r="L117" s="14" t="s">
        <v>181</v>
      </c>
      <c r="M117" s="19" t="s">
        <v>178</v>
      </c>
      <c r="N117" s="19" t="s">
        <v>177</v>
      </c>
      <c r="O117" s="14" t="s">
        <v>176</v>
      </c>
      <c r="P117" s="14" t="s">
        <v>184</v>
      </c>
      <c r="Q117" s="14" t="s">
        <v>181</v>
      </c>
      <c r="R117" s="19" t="s">
        <v>178</v>
      </c>
      <c r="S117" s="19" t="s">
        <v>178</v>
      </c>
      <c r="T117" s="19" t="s">
        <v>178</v>
      </c>
      <c r="U117" s="19" t="s">
        <v>178</v>
      </c>
      <c r="V117" s="14" t="s">
        <v>176</v>
      </c>
      <c r="W117" s="19" t="s">
        <v>178</v>
      </c>
      <c r="X117" s="19" t="s">
        <v>178</v>
      </c>
      <c r="Y117" s="19" t="s">
        <v>178</v>
      </c>
      <c r="Z117" s="15" t="s">
        <v>180</v>
      </c>
      <c r="AL117" t="str">
        <f>IFERROR(_xlfn.XLOOKUP(E117, Branches!$B$2:$B$100, Branches!$C$2:$C$100, "خطأ في الكود"), "")</f>
        <v>Zayed Al Subaie</v>
      </c>
    </row>
    <row r="118" spans="1:38">
      <c r="A118" s="18" t="s">
        <v>241</v>
      </c>
      <c r="B118" s="18">
        <v>80123780</v>
      </c>
      <c r="C118" s="18">
        <v>80123780</v>
      </c>
      <c r="D118" s="18" t="s">
        <v>18</v>
      </c>
      <c r="E118" s="18" t="s">
        <v>137</v>
      </c>
      <c r="F118" s="19" t="s">
        <v>178</v>
      </c>
      <c r="G118" s="18" t="s">
        <v>184</v>
      </c>
      <c r="H118" s="18" t="s">
        <v>176</v>
      </c>
      <c r="I118" s="19" t="s">
        <v>178</v>
      </c>
      <c r="J118" s="18" t="s">
        <v>181</v>
      </c>
      <c r="K118" s="18" t="s">
        <v>181</v>
      </c>
      <c r="L118" s="18" t="s">
        <v>181</v>
      </c>
      <c r="M118" s="18" t="s">
        <v>181</v>
      </c>
      <c r="N118" s="18" t="s">
        <v>181</v>
      </c>
      <c r="O118" s="18" t="s">
        <v>181</v>
      </c>
      <c r="P118" s="18" t="s">
        <v>176</v>
      </c>
      <c r="Q118" s="18" t="s">
        <v>175</v>
      </c>
      <c r="R118" s="18" t="s">
        <v>192</v>
      </c>
      <c r="S118" s="18" t="s">
        <v>175</v>
      </c>
      <c r="T118" s="19" t="s">
        <v>177</v>
      </c>
      <c r="U118" s="18" t="s">
        <v>184</v>
      </c>
      <c r="V118" s="18" t="s">
        <v>175</v>
      </c>
      <c r="W118" s="18" t="s">
        <v>176</v>
      </c>
      <c r="X118" s="18" t="s">
        <v>175</v>
      </c>
      <c r="Y118" s="18" t="s">
        <v>175</v>
      </c>
      <c r="Z118" s="18" t="s">
        <v>175</v>
      </c>
      <c r="AL118" t="str">
        <f>IFERROR(_xlfn.XLOOKUP(E118, Branches!$B$2:$B$100, Branches!$C$2:$C$100, "خطأ في الكود"), "")</f>
        <v>Zayed Al Subaie</v>
      </c>
    </row>
    <row r="119" spans="1:38">
      <c r="A119" s="14" t="s">
        <v>242</v>
      </c>
      <c r="B119" s="14">
        <v>80026468</v>
      </c>
      <c r="C119" s="14">
        <v>80026468</v>
      </c>
      <c r="D119" s="18" t="s">
        <v>46</v>
      </c>
      <c r="E119" s="18" t="s">
        <v>55</v>
      </c>
      <c r="F119" s="14" t="s">
        <v>181</v>
      </c>
      <c r="G119" s="14" t="s">
        <v>181</v>
      </c>
      <c r="H119" s="14" t="s">
        <v>181</v>
      </c>
      <c r="I119" s="14" t="s">
        <v>181</v>
      </c>
      <c r="J119" s="14" t="s">
        <v>176</v>
      </c>
      <c r="K119" s="14" t="s">
        <v>175</v>
      </c>
      <c r="L119" s="14" t="s">
        <v>175</v>
      </c>
      <c r="M119" s="14" t="s">
        <v>175</v>
      </c>
      <c r="N119" s="14" t="s">
        <v>175</v>
      </c>
      <c r="O119" s="15" t="s">
        <v>189</v>
      </c>
      <c r="P119" s="15" t="s">
        <v>180</v>
      </c>
      <c r="Q119" s="14" t="s">
        <v>176</v>
      </c>
      <c r="R119" s="14" t="s">
        <v>277</v>
      </c>
      <c r="S119" s="14" t="s">
        <v>181</v>
      </c>
      <c r="T119" s="14" t="s">
        <v>181</v>
      </c>
      <c r="U119" s="14" t="s">
        <v>181</v>
      </c>
      <c r="V119" s="14" t="s">
        <v>181</v>
      </c>
      <c r="W119" s="14" t="s">
        <v>181</v>
      </c>
      <c r="X119" s="14" t="s">
        <v>176</v>
      </c>
      <c r="Y119" s="14" t="s">
        <v>175</v>
      </c>
      <c r="Z119" s="14" t="s">
        <v>175</v>
      </c>
      <c r="AL119" t="str">
        <f>IFERROR(_xlfn.XLOOKUP(E119, Branches!$B$2:$B$100, Branches!$C$2:$C$100, "خطأ في الكود"), "")</f>
        <v>Musab Hakami</v>
      </c>
    </row>
    <row r="120" spans="1:38">
      <c r="A120" s="18" t="s">
        <v>243</v>
      </c>
      <c r="B120" s="18">
        <v>80117823</v>
      </c>
      <c r="C120" s="18">
        <v>80117823</v>
      </c>
      <c r="D120" s="18" t="s">
        <v>46</v>
      </c>
      <c r="E120" s="18" t="s">
        <v>63</v>
      </c>
      <c r="F120" s="18" t="s">
        <v>184</v>
      </c>
      <c r="G120" s="18" t="s">
        <v>184</v>
      </c>
      <c r="H120" s="18" t="s">
        <v>184</v>
      </c>
      <c r="I120" s="18" t="s">
        <v>184</v>
      </c>
      <c r="J120" s="18" t="s">
        <v>184</v>
      </c>
      <c r="K120" s="19" t="s">
        <v>177</v>
      </c>
      <c r="L120" s="19" t="s">
        <v>177</v>
      </c>
      <c r="M120" s="19" t="s">
        <v>177</v>
      </c>
      <c r="N120" s="18" t="s">
        <v>176</v>
      </c>
      <c r="O120" s="15" t="s">
        <v>180</v>
      </c>
      <c r="P120" s="18" t="s">
        <v>181</v>
      </c>
      <c r="Q120" s="18" t="s">
        <v>205</v>
      </c>
      <c r="R120" s="19" t="s">
        <v>178</v>
      </c>
      <c r="S120" s="19" t="s">
        <v>178</v>
      </c>
      <c r="T120" s="19" t="s">
        <v>178</v>
      </c>
      <c r="U120" s="18" t="s">
        <v>205</v>
      </c>
      <c r="V120" s="18" t="s">
        <v>176</v>
      </c>
      <c r="W120" s="18" t="s">
        <v>181</v>
      </c>
      <c r="X120" s="19" t="s">
        <v>178</v>
      </c>
      <c r="Y120" s="19" t="s">
        <v>178</v>
      </c>
      <c r="Z120" s="19" t="s">
        <v>178</v>
      </c>
      <c r="AL120" t="str">
        <f>IFERROR(_xlfn.XLOOKUP(E120, Branches!$B$2:$B$100, Branches!$C$2:$C$100, "خطأ في الكود"), "")</f>
        <v>Musab Hakami</v>
      </c>
    </row>
    <row r="121" spans="1:38">
      <c r="A121" s="14" t="s">
        <v>244</v>
      </c>
      <c r="B121" s="14">
        <v>80126641</v>
      </c>
      <c r="C121" s="14">
        <v>80126641</v>
      </c>
      <c r="D121" s="18" t="s">
        <v>18</v>
      </c>
      <c r="E121" s="18" t="s">
        <v>109</v>
      </c>
      <c r="F121" s="14" t="s">
        <v>184</v>
      </c>
      <c r="G121" s="14" t="s">
        <v>184</v>
      </c>
      <c r="H121" s="14" t="s">
        <v>184</v>
      </c>
      <c r="I121" s="14" t="s">
        <v>184</v>
      </c>
      <c r="J121" s="14" t="s">
        <v>184</v>
      </c>
      <c r="K121" s="14" t="s">
        <v>184</v>
      </c>
      <c r="L121" s="14" t="s">
        <v>184</v>
      </c>
      <c r="M121" s="14" t="s">
        <v>184</v>
      </c>
      <c r="N121" s="19" t="s">
        <v>177</v>
      </c>
      <c r="O121" s="14" t="s">
        <v>175</v>
      </c>
      <c r="P121" s="14" t="s">
        <v>176</v>
      </c>
      <c r="Q121" s="19" t="s">
        <v>177</v>
      </c>
      <c r="R121" s="14" t="s">
        <v>175</v>
      </c>
      <c r="S121" s="14" t="s">
        <v>175</v>
      </c>
      <c r="T121" s="19" t="s">
        <v>177</v>
      </c>
      <c r="U121" s="14" t="s">
        <v>175</v>
      </c>
      <c r="V121" s="14" t="s">
        <v>175</v>
      </c>
      <c r="W121" s="14" t="s">
        <v>176</v>
      </c>
      <c r="X121" s="14" t="s">
        <v>181</v>
      </c>
      <c r="Y121" s="14" t="s">
        <v>181</v>
      </c>
      <c r="Z121" s="14" t="s">
        <v>181</v>
      </c>
      <c r="AL121" t="str">
        <f>IFERROR(_xlfn.XLOOKUP(E121, Branches!$B$2:$B$100, Branches!$C$2:$C$100, "خطأ في الكود"), "")</f>
        <v>Zayed Al Subaie</v>
      </c>
    </row>
    <row r="122" spans="1:38">
      <c r="A122" s="18" t="s">
        <v>245</v>
      </c>
      <c r="B122" s="18">
        <v>80054232</v>
      </c>
      <c r="C122" s="18">
        <v>80054232</v>
      </c>
      <c r="D122" s="18" t="s">
        <v>18</v>
      </c>
      <c r="E122" s="18" t="s">
        <v>109</v>
      </c>
      <c r="F122" s="19" t="s">
        <v>177</v>
      </c>
      <c r="G122" s="19" t="s">
        <v>177</v>
      </c>
      <c r="H122" s="19" t="s">
        <v>177</v>
      </c>
      <c r="I122" s="18" t="s">
        <v>176</v>
      </c>
      <c r="J122" s="18" t="s">
        <v>184</v>
      </c>
      <c r="K122" s="19" t="s">
        <v>177</v>
      </c>
      <c r="L122" s="19" t="s">
        <v>177</v>
      </c>
      <c r="M122" s="19" t="s">
        <v>177</v>
      </c>
      <c r="N122" s="19" t="s">
        <v>177</v>
      </c>
      <c r="O122" s="19" t="s">
        <v>177</v>
      </c>
      <c r="P122" s="18" t="s">
        <v>176</v>
      </c>
      <c r="Q122" s="19" t="s">
        <v>177</v>
      </c>
      <c r="R122" s="19" t="s">
        <v>177</v>
      </c>
      <c r="S122" s="19" t="s">
        <v>177</v>
      </c>
      <c r="T122" s="19" t="s">
        <v>177</v>
      </c>
      <c r="U122" s="19" t="s">
        <v>177</v>
      </c>
      <c r="V122" s="19" t="s">
        <v>177</v>
      </c>
      <c r="W122" s="18" t="s">
        <v>176</v>
      </c>
      <c r="X122" s="18" t="s">
        <v>184</v>
      </c>
      <c r="Y122" s="19" t="s">
        <v>177</v>
      </c>
      <c r="Z122" s="19" t="s">
        <v>177</v>
      </c>
      <c r="AL122" t="str">
        <f>IFERROR(_xlfn.XLOOKUP(E122, Branches!$B$2:$B$100, Branches!$C$2:$C$100, "خطأ في الكود"), "")</f>
        <v>Zayed Al Subaie</v>
      </c>
    </row>
    <row r="123" spans="1:38">
      <c r="A123" s="14" t="s">
        <v>246</v>
      </c>
      <c r="B123" s="14">
        <v>80092475</v>
      </c>
      <c r="C123" s="14">
        <v>80092475</v>
      </c>
      <c r="D123" s="18" t="s">
        <v>30</v>
      </c>
      <c r="E123" s="18" t="s">
        <v>101</v>
      </c>
      <c r="F123" s="19" t="s">
        <v>177</v>
      </c>
      <c r="G123" s="19" t="s">
        <v>177</v>
      </c>
      <c r="H123" s="14" t="s">
        <v>184</v>
      </c>
      <c r="I123" s="14" t="s">
        <v>184</v>
      </c>
      <c r="J123" s="14" t="s">
        <v>184</v>
      </c>
      <c r="K123" s="14" t="s">
        <v>181</v>
      </c>
      <c r="L123" s="14" t="s">
        <v>181</v>
      </c>
      <c r="M123" s="14" t="s">
        <v>181</v>
      </c>
      <c r="N123" s="14" t="s">
        <v>181</v>
      </c>
      <c r="O123" s="15" t="s">
        <v>180</v>
      </c>
      <c r="P123" s="14" t="s">
        <v>176</v>
      </c>
      <c r="Q123" s="14" t="s">
        <v>181</v>
      </c>
      <c r="R123" s="14" t="s">
        <v>181</v>
      </c>
      <c r="S123" s="14" t="s">
        <v>181</v>
      </c>
      <c r="T123" s="19" t="s">
        <v>178</v>
      </c>
      <c r="U123" s="14" t="s">
        <v>181</v>
      </c>
      <c r="V123" s="19" t="s">
        <v>178</v>
      </c>
      <c r="W123" s="14" t="s">
        <v>176</v>
      </c>
      <c r="X123" s="19" t="s">
        <v>177</v>
      </c>
      <c r="Y123" s="19" t="s">
        <v>177</v>
      </c>
      <c r="Z123" s="19" t="s">
        <v>177</v>
      </c>
      <c r="AL123" t="str">
        <f>IFERROR(_xlfn.XLOOKUP(E123, Branches!$B$2:$B$100, Branches!$C$2:$C$100, "خطأ في الكود"), "")</f>
        <v>Abdul Rahman Mohsen Al Enzi</v>
      </c>
    </row>
    <row r="124" spans="1:38">
      <c r="A124" s="18" t="s">
        <v>247</v>
      </c>
      <c r="B124" s="18">
        <v>80094143</v>
      </c>
      <c r="C124" s="18">
        <v>80094143</v>
      </c>
      <c r="D124" s="18" t="s">
        <v>27</v>
      </c>
      <c r="E124" s="18" t="s">
        <v>33</v>
      </c>
      <c r="F124" s="18" t="s">
        <v>184</v>
      </c>
      <c r="G124" s="18" t="s">
        <v>184</v>
      </c>
      <c r="H124" s="18" t="s">
        <v>184</v>
      </c>
      <c r="I124" s="18" t="s">
        <v>184</v>
      </c>
      <c r="J124" s="18" t="s">
        <v>184</v>
      </c>
      <c r="K124" s="18" t="s">
        <v>184</v>
      </c>
      <c r="L124" s="18" t="s">
        <v>184</v>
      </c>
      <c r="M124" s="18" t="s">
        <v>184</v>
      </c>
      <c r="N124" s="18" t="s">
        <v>184</v>
      </c>
      <c r="O124" s="18" t="s">
        <v>184</v>
      </c>
      <c r="P124" s="18" t="s">
        <v>184</v>
      </c>
      <c r="Q124" s="18" t="s">
        <v>184</v>
      </c>
      <c r="R124" s="18" t="s">
        <v>184</v>
      </c>
      <c r="S124" s="18" t="s">
        <v>184</v>
      </c>
      <c r="T124" s="18" t="s">
        <v>184</v>
      </c>
      <c r="U124" s="18" t="s">
        <v>184</v>
      </c>
      <c r="V124" s="18" t="s">
        <v>184</v>
      </c>
      <c r="W124" s="18" t="s">
        <v>184</v>
      </c>
      <c r="X124" s="18" t="s">
        <v>184</v>
      </c>
      <c r="Y124" s="18" t="s">
        <v>184</v>
      </c>
      <c r="Z124" s="18" t="s">
        <v>184</v>
      </c>
      <c r="AL124" t="str">
        <f>IFERROR(_xlfn.XLOOKUP(E124, Branches!$B$2:$B$100, Branches!$C$2:$C$100, "خطأ في الكود"), "")</f>
        <v>Mohammed Gobran Abdali</v>
      </c>
    </row>
    <row r="125" spans="1:38">
      <c r="A125" s="14" t="s">
        <v>248</v>
      </c>
      <c r="B125" s="14">
        <v>80067231</v>
      </c>
      <c r="C125" s="14">
        <v>80067231</v>
      </c>
      <c r="D125" s="18" t="s">
        <v>46</v>
      </c>
      <c r="E125" s="18" t="s">
        <v>55</v>
      </c>
      <c r="F125" s="14" t="s">
        <v>175</v>
      </c>
      <c r="G125" s="14" t="s">
        <v>175</v>
      </c>
      <c r="H125" s="14" t="s">
        <v>175</v>
      </c>
      <c r="I125" s="14" t="s">
        <v>176</v>
      </c>
      <c r="J125" s="14" t="s">
        <v>184</v>
      </c>
      <c r="K125" s="14" t="s">
        <v>184</v>
      </c>
      <c r="L125" s="14" t="s">
        <v>184</v>
      </c>
      <c r="M125" s="14" t="s">
        <v>184</v>
      </c>
      <c r="N125" s="14" t="s">
        <v>184</v>
      </c>
      <c r="O125" s="14" t="s">
        <v>184</v>
      </c>
      <c r="P125" s="14" t="s">
        <v>184</v>
      </c>
      <c r="Q125" s="14" t="s">
        <v>184</v>
      </c>
      <c r="R125" s="14" t="s">
        <v>184</v>
      </c>
      <c r="S125" s="14" t="s">
        <v>184</v>
      </c>
      <c r="T125" s="14" t="s">
        <v>184</v>
      </c>
      <c r="U125" s="14" t="s">
        <v>184</v>
      </c>
      <c r="V125" s="14" t="s">
        <v>184</v>
      </c>
      <c r="W125" s="14" t="s">
        <v>184</v>
      </c>
      <c r="X125" s="14" t="s">
        <v>184</v>
      </c>
      <c r="Y125" s="14" t="s">
        <v>184</v>
      </c>
      <c r="Z125" s="14" t="s">
        <v>184</v>
      </c>
      <c r="AL125" t="str">
        <f>IFERROR(_xlfn.XLOOKUP(E125, Branches!$B$2:$B$100, Branches!$C$2:$C$100, "خطأ في الكود"), "")</f>
        <v>Musab Hakami</v>
      </c>
    </row>
    <row r="126" spans="1:38">
      <c r="A126" s="18" t="s">
        <v>249</v>
      </c>
      <c r="B126" s="18">
        <v>80117778</v>
      </c>
      <c r="C126" s="18">
        <v>80117778</v>
      </c>
      <c r="D126" s="18" t="s">
        <v>30</v>
      </c>
      <c r="E126" s="18" t="s">
        <v>37</v>
      </c>
      <c r="F126" s="19" t="s">
        <v>178</v>
      </c>
      <c r="G126" s="18" t="s">
        <v>181</v>
      </c>
      <c r="H126" s="18" t="s">
        <v>181</v>
      </c>
      <c r="I126" s="18" t="s">
        <v>176</v>
      </c>
      <c r="J126" s="18" t="s">
        <v>181</v>
      </c>
      <c r="K126" s="18" t="s">
        <v>181</v>
      </c>
      <c r="L126" s="18" t="s">
        <v>181</v>
      </c>
      <c r="M126" s="18" t="s">
        <v>181</v>
      </c>
      <c r="N126" s="18" t="s">
        <v>181</v>
      </c>
      <c r="O126" s="15" t="s">
        <v>180</v>
      </c>
      <c r="P126" s="18" t="s">
        <v>176</v>
      </c>
      <c r="Q126" s="18" t="s">
        <v>181</v>
      </c>
      <c r="R126" s="18" t="s">
        <v>181</v>
      </c>
      <c r="S126" s="18" t="s">
        <v>181</v>
      </c>
      <c r="T126" s="18" t="s">
        <v>181</v>
      </c>
      <c r="U126" s="18" t="s">
        <v>175</v>
      </c>
      <c r="V126" s="18" t="s">
        <v>175</v>
      </c>
      <c r="W126" s="18" t="s">
        <v>176</v>
      </c>
      <c r="X126" s="18" t="s">
        <v>175</v>
      </c>
      <c r="Y126" s="18" t="s">
        <v>175</v>
      </c>
      <c r="Z126" s="18" t="s">
        <v>175</v>
      </c>
      <c r="AL126" t="str">
        <f>IFERROR(_xlfn.XLOOKUP(E126, Branches!$B$2:$B$100, Branches!$C$2:$C$100, "خطأ في الكود"), "")</f>
        <v>Abdul Rahman Mohsen Al Enzi</v>
      </c>
    </row>
    <row r="127" spans="1:38">
      <c r="A127" s="14" t="s">
        <v>250</v>
      </c>
      <c r="B127" s="14">
        <v>80018056</v>
      </c>
      <c r="C127" s="14">
        <v>80018056</v>
      </c>
      <c r="D127" s="18" t="s">
        <v>46</v>
      </c>
      <c r="E127" s="18" t="s">
        <v>63</v>
      </c>
      <c r="F127" s="14" t="s">
        <v>175</v>
      </c>
      <c r="G127" s="14" t="s">
        <v>175</v>
      </c>
      <c r="H127" s="14" t="s">
        <v>175</v>
      </c>
      <c r="I127" s="14" t="s">
        <v>176</v>
      </c>
      <c r="J127" s="14" t="s">
        <v>175</v>
      </c>
      <c r="K127" s="14" t="s">
        <v>205</v>
      </c>
      <c r="L127" s="19" t="s">
        <v>177</v>
      </c>
      <c r="M127" s="14" t="s">
        <v>175</v>
      </c>
      <c r="N127" s="14" t="s">
        <v>175</v>
      </c>
      <c r="O127" s="14" t="s">
        <v>175</v>
      </c>
      <c r="P127" s="14" t="s">
        <v>176</v>
      </c>
      <c r="Q127" s="14" t="s">
        <v>175</v>
      </c>
      <c r="R127" s="14" t="s">
        <v>184</v>
      </c>
      <c r="S127" s="19" t="s">
        <v>177</v>
      </c>
      <c r="T127" s="14" t="s">
        <v>175</v>
      </c>
      <c r="U127" s="14" t="s">
        <v>175</v>
      </c>
      <c r="V127" s="14" t="s">
        <v>175</v>
      </c>
      <c r="W127" s="14" t="s">
        <v>176</v>
      </c>
      <c r="X127" s="19" t="s">
        <v>177</v>
      </c>
      <c r="Y127" s="15" t="s">
        <v>189</v>
      </c>
      <c r="Z127" s="19" t="s">
        <v>177</v>
      </c>
      <c r="AL127" t="str">
        <f>IFERROR(_xlfn.XLOOKUP(E127, Branches!$B$2:$B$100, Branches!$C$2:$C$100, "خطأ في الكود"), "")</f>
        <v>Musab Hakami</v>
      </c>
    </row>
    <row r="128" spans="1:38">
      <c r="A128" s="18" t="s">
        <v>251</v>
      </c>
      <c r="B128" s="18">
        <v>80105333</v>
      </c>
      <c r="C128" s="18">
        <v>80105333</v>
      </c>
      <c r="D128" s="18" t="s">
        <v>41</v>
      </c>
      <c r="E128" s="18" t="s">
        <v>59</v>
      </c>
      <c r="F128" s="18" t="s">
        <v>192</v>
      </c>
      <c r="G128" s="19" t="s">
        <v>177</v>
      </c>
      <c r="H128" s="18" t="s">
        <v>192</v>
      </c>
      <c r="I128" s="18" t="s">
        <v>176</v>
      </c>
      <c r="J128" s="19" t="s">
        <v>177</v>
      </c>
      <c r="K128" s="19" t="s">
        <v>177</v>
      </c>
      <c r="L128" s="19" t="s">
        <v>177</v>
      </c>
      <c r="M128" s="19" t="s">
        <v>177</v>
      </c>
      <c r="N128" s="19" t="s">
        <v>177</v>
      </c>
      <c r="O128" s="19" t="s">
        <v>177</v>
      </c>
      <c r="P128" s="18" t="s">
        <v>176</v>
      </c>
      <c r="Q128" s="19" t="s">
        <v>177</v>
      </c>
      <c r="R128" s="19" t="s">
        <v>177</v>
      </c>
      <c r="S128" s="18" t="s">
        <v>192</v>
      </c>
      <c r="T128" s="19" t="s">
        <v>177</v>
      </c>
      <c r="U128" s="18" t="s">
        <v>175</v>
      </c>
      <c r="V128" s="19" t="s">
        <v>177</v>
      </c>
      <c r="W128" s="18" t="s">
        <v>176</v>
      </c>
      <c r="X128" s="18" t="s">
        <v>175</v>
      </c>
      <c r="Y128" s="18" t="s">
        <v>175</v>
      </c>
      <c r="Z128" s="18" t="s">
        <v>175</v>
      </c>
      <c r="AL128" t="str">
        <f>IFERROR(_xlfn.XLOOKUP(E128, Branches!$B$2:$B$100, Branches!$C$2:$C$100, "خطأ في الكود"), "")</f>
        <v>Mohammed Al - Gahtani</v>
      </c>
    </row>
    <row r="129" spans="1:38">
      <c r="A129" s="14" t="s">
        <v>252</v>
      </c>
      <c r="B129" s="14">
        <v>80127771</v>
      </c>
      <c r="C129" s="14">
        <v>80127771</v>
      </c>
      <c r="D129" s="18" t="s">
        <v>41</v>
      </c>
      <c r="E129" s="18" t="s">
        <v>141</v>
      </c>
      <c r="F129" s="19" t="s">
        <v>178</v>
      </c>
      <c r="G129" s="14" t="s">
        <v>181</v>
      </c>
      <c r="H129" s="19" t="s">
        <v>178</v>
      </c>
      <c r="I129" s="14" t="s">
        <v>181</v>
      </c>
      <c r="J129" s="14" t="s">
        <v>184</v>
      </c>
      <c r="K129" s="19" t="s">
        <v>178</v>
      </c>
      <c r="L129" s="19" t="s">
        <v>178</v>
      </c>
      <c r="M129" s="14" t="s">
        <v>179</v>
      </c>
      <c r="N129" s="19" t="s">
        <v>178</v>
      </c>
      <c r="O129" s="15" t="s">
        <v>180</v>
      </c>
      <c r="P129" s="14" t="s">
        <v>181</v>
      </c>
      <c r="Q129" s="19" t="s">
        <v>178</v>
      </c>
      <c r="R129" s="14" t="s">
        <v>181</v>
      </c>
      <c r="S129" s="19" t="s">
        <v>178</v>
      </c>
      <c r="T129" s="14" t="s">
        <v>176</v>
      </c>
      <c r="U129" s="14" t="s">
        <v>181</v>
      </c>
      <c r="V129" s="19" t="s">
        <v>178</v>
      </c>
      <c r="W129" s="19" t="s">
        <v>178</v>
      </c>
      <c r="X129" s="19" t="s">
        <v>178</v>
      </c>
      <c r="Y129" s="14" t="s">
        <v>181</v>
      </c>
      <c r="Z129" s="14" t="s">
        <v>181</v>
      </c>
      <c r="AL129" t="str">
        <f>IFERROR(_xlfn.XLOOKUP(E129, Branches!$B$2:$B$100, Branches!$C$2:$C$100, "خطأ في الكود"), "")</f>
        <v>Mohammed Al - Gahtani</v>
      </c>
    </row>
    <row r="130" spans="1:38">
      <c r="A130" s="18" t="s">
        <v>253</v>
      </c>
      <c r="B130" s="18">
        <v>80123722</v>
      </c>
      <c r="C130" s="18">
        <v>80123722</v>
      </c>
      <c r="D130" s="18" t="s">
        <v>30</v>
      </c>
      <c r="E130" s="18" t="s">
        <v>147</v>
      </c>
      <c r="F130" s="18" t="s">
        <v>181</v>
      </c>
      <c r="G130" s="18" t="s">
        <v>181</v>
      </c>
      <c r="H130" s="19" t="s">
        <v>178</v>
      </c>
      <c r="I130" s="18" t="s">
        <v>181</v>
      </c>
      <c r="J130" s="18" t="s">
        <v>176</v>
      </c>
      <c r="K130" s="18" t="s">
        <v>181</v>
      </c>
      <c r="L130" s="18" t="s">
        <v>181</v>
      </c>
      <c r="M130" s="18" t="s">
        <v>181</v>
      </c>
      <c r="N130" s="18" t="s">
        <v>181</v>
      </c>
      <c r="O130" s="18" t="s">
        <v>181</v>
      </c>
      <c r="P130" s="18" t="s">
        <v>181</v>
      </c>
      <c r="Q130" s="18" t="s">
        <v>179</v>
      </c>
      <c r="R130" s="18" t="s">
        <v>181</v>
      </c>
      <c r="S130" s="18" t="s">
        <v>181</v>
      </c>
      <c r="T130" s="18" t="s">
        <v>181</v>
      </c>
      <c r="U130" s="18" t="s">
        <v>181</v>
      </c>
      <c r="V130" s="18" t="s">
        <v>181</v>
      </c>
      <c r="W130" s="18" t="s">
        <v>181</v>
      </c>
      <c r="X130" s="18" t="s">
        <v>176</v>
      </c>
      <c r="Y130" s="18" t="s">
        <v>181</v>
      </c>
      <c r="Z130" s="19" t="s">
        <v>178</v>
      </c>
      <c r="AL130" t="str">
        <f>IFERROR(_xlfn.XLOOKUP(E130, Branches!$B$2:$B$100, Branches!$C$2:$C$100, "خطأ في الكود"), "")</f>
        <v>Abdul Rahman Mohsen Al Enzi</v>
      </c>
    </row>
    <row r="131" spans="1:38">
      <c r="A131" s="14" t="s">
        <v>254</v>
      </c>
      <c r="B131" s="14">
        <v>80104210</v>
      </c>
      <c r="C131" s="14">
        <v>80104210</v>
      </c>
      <c r="D131" s="18" t="s">
        <v>18</v>
      </c>
      <c r="E131" s="18" t="s">
        <v>69</v>
      </c>
      <c r="F131" s="14" t="s">
        <v>175</v>
      </c>
      <c r="G131" s="14" t="s">
        <v>175</v>
      </c>
      <c r="H131" s="19" t="s">
        <v>177</v>
      </c>
      <c r="I131" s="14" t="s">
        <v>176</v>
      </c>
      <c r="J131" s="14" t="s">
        <v>175</v>
      </c>
      <c r="K131" s="14" t="s">
        <v>175</v>
      </c>
      <c r="L131" s="14" t="s">
        <v>175</v>
      </c>
      <c r="M131" s="19" t="s">
        <v>177</v>
      </c>
      <c r="N131" s="19" t="s">
        <v>177</v>
      </c>
      <c r="O131" s="14" t="s">
        <v>175</v>
      </c>
      <c r="P131" s="14" t="s">
        <v>176</v>
      </c>
      <c r="Q131" s="14" t="s">
        <v>175</v>
      </c>
      <c r="R131" s="14" t="s">
        <v>175</v>
      </c>
      <c r="S131" s="14" t="s">
        <v>175</v>
      </c>
      <c r="T131" s="14" t="s">
        <v>175</v>
      </c>
      <c r="U131" s="14" t="s">
        <v>175</v>
      </c>
      <c r="V131" s="14" t="s">
        <v>175</v>
      </c>
      <c r="W131" s="14" t="s">
        <v>176</v>
      </c>
      <c r="X131" s="19" t="s">
        <v>177</v>
      </c>
      <c r="Y131" s="14" t="s">
        <v>175</v>
      </c>
      <c r="Z131" s="14" t="s">
        <v>175</v>
      </c>
      <c r="AL131" t="str">
        <f>IFERROR(_xlfn.XLOOKUP(E131, Branches!$B$2:$B$100, Branches!$C$2:$C$100, "خطأ في الكود"), "")</f>
        <v>Zayed Al Subaie</v>
      </c>
    </row>
    <row r="132" spans="1:38">
      <c r="A132" s="18" t="s">
        <v>150</v>
      </c>
      <c r="B132" s="18">
        <v>80118850</v>
      </c>
      <c r="C132" s="18">
        <v>80118850</v>
      </c>
      <c r="D132" s="18" t="s">
        <v>46</v>
      </c>
      <c r="E132" s="18" t="s">
        <v>151</v>
      </c>
      <c r="F132" s="19" t="s">
        <v>177</v>
      </c>
      <c r="G132" s="19" t="s">
        <v>177</v>
      </c>
      <c r="H132" s="15" t="s">
        <v>189</v>
      </c>
      <c r="I132" s="18" t="s">
        <v>181</v>
      </c>
      <c r="J132" s="18" t="s">
        <v>176</v>
      </c>
      <c r="K132" s="19" t="s">
        <v>178</v>
      </c>
      <c r="L132" s="18" t="s">
        <v>181</v>
      </c>
      <c r="M132" s="18" t="s">
        <v>181</v>
      </c>
      <c r="N132" s="19" t="s">
        <v>178</v>
      </c>
      <c r="O132" s="15" t="s">
        <v>180</v>
      </c>
      <c r="P132" s="15" t="s">
        <v>180</v>
      </c>
      <c r="Q132" s="18" t="s">
        <v>179</v>
      </c>
      <c r="R132" s="18" t="s">
        <v>184</v>
      </c>
      <c r="S132" s="18" t="s">
        <v>184</v>
      </c>
      <c r="T132" s="18" t="s">
        <v>184</v>
      </c>
      <c r="U132" s="18" t="s">
        <v>182</v>
      </c>
      <c r="V132" s="18" t="s">
        <v>184</v>
      </c>
      <c r="W132" s="18" t="s">
        <v>184</v>
      </c>
      <c r="X132" s="18" t="s">
        <v>184</v>
      </c>
      <c r="Y132" s="18" t="s">
        <v>184</v>
      </c>
      <c r="Z132" s="18" t="s">
        <v>175</v>
      </c>
      <c r="AL132" t="str">
        <f>IFERROR(_xlfn.XLOOKUP(E132, Branches!$B$2:$B$100, Branches!$C$2:$C$100, "خطأ في الكود"), "")</f>
        <v>Musab Hakami</v>
      </c>
    </row>
    <row r="133" spans="1:38">
      <c r="A133" s="14" t="s">
        <v>255</v>
      </c>
      <c r="B133" s="14">
        <v>80000659</v>
      </c>
      <c r="C133" s="14">
        <v>80000659</v>
      </c>
      <c r="D133" s="18" t="s">
        <v>18</v>
      </c>
      <c r="E133" s="18" t="s">
        <v>51</v>
      </c>
      <c r="F133" s="14" t="s">
        <v>176</v>
      </c>
      <c r="G133" s="14" t="s">
        <v>181</v>
      </c>
      <c r="H133" s="14" t="s">
        <v>181</v>
      </c>
      <c r="I133" s="14" t="s">
        <v>176</v>
      </c>
      <c r="J133" s="14" t="s">
        <v>175</v>
      </c>
      <c r="K133" s="14" t="s">
        <v>175</v>
      </c>
      <c r="L133" s="14" t="s">
        <v>175</v>
      </c>
      <c r="M133" s="14" t="s">
        <v>182</v>
      </c>
      <c r="N133" s="14" t="s">
        <v>175</v>
      </c>
      <c r="O133" s="14" t="s">
        <v>175</v>
      </c>
      <c r="P133" s="14" t="s">
        <v>176</v>
      </c>
      <c r="Q133" s="14" t="s">
        <v>175</v>
      </c>
      <c r="R133" s="14" t="s">
        <v>175</v>
      </c>
      <c r="S133" s="14" t="s">
        <v>175</v>
      </c>
      <c r="T133" s="14" t="s">
        <v>175</v>
      </c>
      <c r="U133" s="14" t="s">
        <v>175</v>
      </c>
      <c r="V133" s="14" t="s">
        <v>175</v>
      </c>
      <c r="W133" s="14" t="s">
        <v>176</v>
      </c>
      <c r="X133" s="14" t="s">
        <v>181</v>
      </c>
      <c r="Y133" s="14" t="s">
        <v>181</v>
      </c>
      <c r="Z133" s="14" t="s">
        <v>181</v>
      </c>
      <c r="AL133" t="str">
        <f>IFERROR(_xlfn.XLOOKUP(E133, Branches!$B$2:$B$100, Branches!$C$2:$C$100, "خطأ في الكود"), "")</f>
        <v>Othman Al Sagri</v>
      </c>
    </row>
    <row r="134" spans="1:38">
      <c r="A134" s="18" t="s">
        <v>256</v>
      </c>
      <c r="B134" s="18">
        <v>80117873</v>
      </c>
      <c r="C134" s="18">
        <v>80117873</v>
      </c>
      <c r="D134" s="18" t="s">
        <v>30</v>
      </c>
      <c r="E134" s="18" t="s">
        <v>135</v>
      </c>
      <c r="F134" s="18" t="s">
        <v>181</v>
      </c>
      <c r="G134" s="18" t="s">
        <v>181</v>
      </c>
      <c r="H134" s="18" t="s">
        <v>176</v>
      </c>
      <c r="I134" s="18" t="s">
        <v>181</v>
      </c>
      <c r="J134" s="18" t="s">
        <v>181</v>
      </c>
      <c r="K134" s="18" t="s">
        <v>181</v>
      </c>
      <c r="L134" s="18" t="s">
        <v>181</v>
      </c>
      <c r="M134" s="18" t="s">
        <v>181</v>
      </c>
      <c r="N134" s="19" t="s">
        <v>178</v>
      </c>
      <c r="O134" s="18" t="s">
        <v>176</v>
      </c>
      <c r="P134" s="18" t="s">
        <v>181</v>
      </c>
      <c r="Q134" s="18" t="s">
        <v>181</v>
      </c>
      <c r="R134" s="19" t="s">
        <v>178</v>
      </c>
      <c r="S134" s="18" t="s">
        <v>181</v>
      </c>
      <c r="T134" s="18" t="s">
        <v>181</v>
      </c>
      <c r="U134" s="19" t="s">
        <v>178</v>
      </c>
      <c r="V134" s="18" t="s">
        <v>176</v>
      </c>
      <c r="W134" s="19" t="s">
        <v>178</v>
      </c>
      <c r="X134" s="18" t="s">
        <v>181</v>
      </c>
      <c r="Y134" s="18" t="s">
        <v>181</v>
      </c>
      <c r="Z134" s="18" t="s">
        <v>181</v>
      </c>
      <c r="AL134" t="str">
        <f>IFERROR(_xlfn.XLOOKUP(E134, Branches!$B$2:$B$100, Branches!$C$2:$C$100, "خطأ في الكود"), "")</f>
        <v>Abdul Rahman Mohsen Al Enzi</v>
      </c>
    </row>
    <row r="135" spans="1:38">
      <c r="A135" s="14" t="s">
        <v>257</v>
      </c>
      <c r="B135" s="14">
        <v>80120274</v>
      </c>
      <c r="C135" s="14">
        <v>80120274</v>
      </c>
      <c r="D135" s="18" t="s">
        <v>18</v>
      </c>
      <c r="E135" s="18" t="s">
        <v>73</v>
      </c>
      <c r="F135" s="19" t="s">
        <v>178</v>
      </c>
      <c r="G135" s="19" t="s">
        <v>178</v>
      </c>
      <c r="H135" s="15" t="s">
        <v>180</v>
      </c>
      <c r="I135" s="14" t="s">
        <v>176</v>
      </c>
      <c r="J135" s="14" t="s">
        <v>175</v>
      </c>
      <c r="K135" s="19" t="s">
        <v>178</v>
      </c>
      <c r="L135" s="19" t="s">
        <v>178</v>
      </c>
      <c r="M135" s="14" t="s">
        <v>181</v>
      </c>
      <c r="N135" s="19" t="s">
        <v>178</v>
      </c>
      <c r="O135" s="14" t="s">
        <v>181</v>
      </c>
      <c r="P135" s="14" t="s">
        <v>176</v>
      </c>
      <c r="Q135" s="19" t="s">
        <v>177</v>
      </c>
      <c r="R135" s="14" t="s">
        <v>181</v>
      </c>
      <c r="S135" s="14" t="s">
        <v>181</v>
      </c>
      <c r="T135" s="14" t="s">
        <v>181</v>
      </c>
      <c r="U135" s="19" t="s">
        <v>177</v>
      </c>
      <c r="V135" s="19" t="s">
        <v>177</v>
      </c>
      <c r="W135" s="14" t="s">
        <v>176</v>
      </c>
      <c r="X135" s="15" t="s">
        <v>189</v>
      </c>
      <c r="Y135" s="15" t="s">
        <v>189</v>
      </c>
      <c r="Z135" s="15" t="s">
        <v>189</v>
      </c>
      <c r="AL135" t="str">
        <f>IFERROR(_xlfn.XLOOKUP(E135, Branches!$B$2:$B$100, Branches!$C$2:$C$100, "خطأ في الكود"), "")</f>
        <v>Zayed Al Subaie</v>
      </c>
    </row>
    <row r="136" spans="1:38">
      <c r="A136" s="18" t="s">
        <v>152</v>
      </c>
      <c r="B136" s="18">
        <v>80120701</v>
      </c>
      <c r="C136" s="18">
        <v>80120701</v>
      </c>
      <c r="D136" s="18" t="s">
        <v>27</v>
      </c>
      <c r="E136" s="18" t="s">
        <v>153</v>
      </c>
      <c r="F136" s="18" t="s">
        <v>181</v>
      </c>
      <c r="G136" s="19" t="s">
        <v>178</v>
      </c>
      <c r="H136" s="18" t="s">
        <v>181</v>
      </c>
      <c r="I136" s="18" t="s">
        <v>176</v>
      </c>
      <c r="J136" s="18" t="s">
        <v>175</v>
      </c>
      <c r="K136" s="18" t="s">
        <v>175</v>
      </c>
      <c r="L136" s="18" t="s">
        <v>175</v>
      </c>
      <c r="M136" s="18" t="s">
        <v>175</v>
      </c>
      <c r="N136" s="19" t="s">
        <v>177</v>
      </c>
      <c r="O136" s="18" t="s">
        <v>175</v>
      </c>
      <c r="P136" s="18" t="s">
        <v>181</v>
      </c>
      <c r="Q136" s="18" t="s">
        <v>176</v>
      </c>
      <c r="R136" s="18" t="s">
        <v>181</v>
      </c>
      <c r="S136" s="18" t="s">
        <v>181</v>
      </c>
      <c r="T136" s="18" t="s">
        <v>181</v>
      </c>
      <c r="U136" s="18" t="s">
        <v>181</v>
      </c>
      <c r="V136" s="18" t="s">
        <v>176</v>
      </c>
      <c r="W136" s="18" t="s">
        <v>181</v>
      </c>
      <c r="X136" s="18" t="s">
        <v>181</v>
      </c>
      <c r="Y136" s="18" t="s">
        <v>181</v>
      </c>
      <c r="Z136" s="18" t="s">
        <v>181</v>
      </c>
      <c r="AL136" t="str">
        <f>IFERROR(_xlfn.XLOOKUP(E136, Branches!$B$2:$B$100, Branches!$C$2:$C$100, "خطأ في الكود"), "")</f>
        <v>Mohammed Gobran Abdali</v>
      </c>
    </row>
    <row r="137" spans="1:38">
      <c r="A137" s="14" t="s">
        <v>258</v>
      </c>
      <c r="B137" s="14">
        <v>80047326</v>
      </c>
      <c r="C137" s="14">
        <v>80047326</v>
      </c>
      <c r="D137" s="18" t="s">
        <v>18</v>
      </c>
      <c r="E137" s="18" t="s">
        <v>117</v>
      </c>
      <c r="F137" s="14" t="s">
        <v>175</v>
      </c>
      <c r="G137" s="14" t="s">
        <v>175</v>
      </c>
      <c r="H137" s="14" t="s">
        <v>175</v>
      </c>
      <c r="I137" s="14" t="s">
        <v>176</v>
      </c>
      <c r="J137" s="14" t="s">
        <v>175</v>
      </c>
      <c r="K137" s="14" t="s">
        <v>175</v>
      </c>
      <c r="L137" s="14" t="s">
        <v>175</v>
      </c>
      <c r="M137" s="14" t="s">
        <v>181</v>
      </c>
      <c r="N137" s="14" t="s">
        <v>175</v>
      </c>
      <c r="O137" s="14" t="s">
        <v>184</v>
      </c>
      <c r="P137" s="14" t="s">
        <v>176</v>
      </c>
      <c r="Q137" s="14" t="s">
        <v>181</v>
      </c>
      <c r="R137" s="14" t="s">
        <v>175</v>
      </c>
      <c r="S137" s="14" t="s">
        <v>175</v>
      </c>
      <c r="T137" s="14" t="s">
        <v>175</v>
      </c>
      <c r="U137" s="14" t="s">
        <v>175</v>
      </c>
      <c r="V137" s="14" t="s">
        <v>175</v>
      </c>
      <c r="W137" s="14" t="s">
        <v>176</v>
      </c>
      <c r="X137" s="14" t="s">
        <v>175</v>
      </c>
      <c r="Y137" s="14" t="s">
        <v>175</v>
      </c>
      <c r="Z137" s="14" t="s">
        <v>175</v>
      </c>
      <c r="AL137" t="str">
        <f>IFERROR(_xlfn.XLOOKUP(E137, Branches!$B$2:$B$100, Branches!$C$2:$C$100, "خطأ في الكود"), "")</f>
        <v>Zayed Al Subaie</v>
      </c>
    </row>
    <row r="138" spans="1:38">
      <c r="A138" s="18" t="s">
        <v>259</v>
      </c>
      <c r="B138" s="18">
        <v>80124483</v>
      </c>
      <c r="C138" s="18">
        <v>80124483</v>
      </c>
      <c r="D138" s="18" t="s">
        <v>27</v>
      </c>
      <c r="E138" s="18" t="s">
        <v>93</v>
      </c>
      <c r="F138" s="18" t="s">
        <v>184</v>
      </c>
      <c r="G138" s="18" t="s">
        <v>184</v>
      </c>
      <c r="H138" s="18" t="s">
        <v>184</v>
      </c>
      <c r="I138" s="18" t="s">
        <v>184</v>
      </c>
      <c r="J138" s="18" t="s">
        <v>184</v>
      </c>
      <c r="K138" s="18" t="s">
        <v>184</v>
      </c>
      <c r="L138" s="18" t="s">
        <v>184</v>
      </c>
      <c r="M138" s="18" t="s">
        <v>181</v>
      </c>
      <c r="N138" s="18" t="s">
        <v>181</v>
      </c>
      <c r="O138" s="18" t="s">
        <v>181</v>
      </c>
      <c r="P138" s="18" t="s">
        <v>179</v>
      </c>
      <c r="Q138" s="18" t="s">
        <v>175</v>
      </c>
      <c r="R138" s="18" t="s">
        <v>192</v>
      </c>
      <c r="S138" s="18" t="s">
        <v>192</v>
      </c>
      <c r="T138" s="18" t="s">
        <v>192</v>
      </c>
      <c r="U138" s="19" t="s">
        <v>177</v>
      </c>
      <c r="V138" s="18" t="s">
        <v>176</v>
      </c>
      <c r="W138" s="18" t="s">
        <v>181</v>
      </c>
      <c r="X138" s="18" t="s">
        <v>181</v>
      </c>
      <c r="Y138" s="18" t="s">
        <v>181</v>
      </c>
      <c r="Z138" s="18" t="s">
        <v>181</v>
      </c>
      <c r="AL138" t="str">
        <f>IFERROR(_xlfn.XLOOKUP(E138, Branches!$B$2:$B$100, Branches!$C$2:$C$100, "خطأ في الكود"), "")</f>
        <v>Mohammed Gobran Abdali</v>
      </c>
    </row>
    <row r="139" spans="1:38">
      <c r="A139" s="14" t="s">
        <v>260</v>
      </c>
      <c r="B139" s="14">
        <v>80125513</v>
      </c>
      <c r="C139" s="14">
        <v>80125513</v>
      </c>
      <c r="D139" s="18" t="s">
        <v>18</v>
      </c>
      <c r="E139" s="18" t="s">
        <v>109</v>
      </c>
      <c r="F139" s="14" t="s">
        <v>179</v>
      </c>
      <c r="G139" s="19" t="s">
        <v>178</v>
      </c>
      <c r="H139" s="19" t="s">
        <v>178</v>
      </c>
      <c r="I139" s="19" t="s">
        <v>178</v>
      </c>
      <c r="J139" s="19" t="s">
        <v>178</v>
      </c>
      <c r="K139" s="19" t="s">
        <v>178</v>
      </c>
      <c r="L139" s="19" t="s">
        <v>178</v>
      </c>
      <c r="M139" s="14" t="s">
        <v>176</v>
      </c>
      <c r="N139" s="19" t="s">
        <v>178</v>
      </c>
      <c r="O139" s="15" t="s">
        <v>180</v>
      </c>
      <c r="P139" s="19" t="s">
        <v>178</v>
      </c>
      <c r="Q139" s="14" t="s">
        <v>181</v>
      </c>
      <c r="R139" s="14" t="s">
        <v>181</v>
      </c>
      <c r="S139" s="19" t="s">
        <v>178</v>
      </c>
      <c r="T139" s="14" t="s">
        <v>176</v>
      </c>
      <c r="U139" s="14" t="s">
        <v>184</v>
      </c>
      <c r="V139" s="19" t="s">
        <v>178</v>
      </c>
      <c r="W139" s="19" t="s">
        <v>178</v>
      </c>
      <c r="X139" s="14" t="s">
        <v>181</v>
      </c>
      <c r="Y139" s="19" t="s">
        <v>178</v>
      </c>
      <c r="Z139" s="19" t="s">
        <v>178</v>
      </c>
      <c r="AL139" t="str">
        <f>IFERROR(_xlfn.XLOOKUP(E139, Branches!$B$2:$B$100, Branches!$C$2:$C$100, "خطأ في الكود"), "")</f>
        <v>Zayed Al Subaie</v>
      </c>
    </row>
    <row r="140" spans="1:38">
      <c r="A140" s="18" t="s">
        <v>154</v>
      </c>
      <c r="B140" s="18">
        <v>80115732</v>
      </c>
      <c r="C140" s="18">
        <v>80115732</v>
      </c>
      <c r="D140" s="18" t="s">
        <v>18</v>
      </c>
      <c r="E140" s="18" t="s">
        <v>155</v>
      </c>
      <c r="F140" s="18" t="s">
        <v>181</v>
      </c>
      <c r="G140" s="18" t="s">
        <v>181</v>
      </c>
      <c r="H140" s="18" t="s">
        <v>176</v>
      </c>
      <c r="I140" s="18" t="s">
        <v>181</v>
      </c>
      <c r="J140" s="19" t="s">
        <v>178</v>
      </c>
      <c r="K140" s="18" t="s">
        <v>181</v>
      </c>
      <c r="L140" s="18" t="s">
        <v>181</v>
      </c>
      <c r="M140" s="18" t="s">
        <v>181</v>
      </c>
      <c r="N140" s="18" t="s">
        <v>181</v>
      </c>
      <c r="O140" s="18" t="s">
        <v>176</v>
      </c>
      <c r="P140" s="18" t="s">
        <v>181</v>
      </c>
      <c r="Q140" s="18" t="s">
        <v>184</v>
      </c>
      <c r="R140" s="18" t="s">
        <v>181</v>
      </c>
      <c r="S140" s="18" t="s">
        <v>181</v>
      </c>
      <c r="T140" s="18" t="s">
        <v>205</v>
      </c>
      <c r="U140" s="18" t="s">
        <v>181</v>
      </c>
      <c r="V140" s="18" t="s">
        <v>176</v>
      </c>
      <c r="W140" s="18" t="s">
        <v>181</v>
      </c>
      <c r="X140" s="18" t="s">
        <v>181</v>
      </c>
      <c r="Y140" s="18" t="s">
        <v>181</v>
      </c>
      <c r="Z140" s="18" t="s">
        <v>181</v>
      </c>
      <c r="AL140" t="str">
        <f>IFERROR(_xlfn.XLOOKUP(E140, Branches!$B$2:$B$100, Branches!$C$2:$C$100, "خطأ في الكود"), "")</f>
        <v>Zayed Al Subaie</v>
      </c>
    </row>
    <row r="141" spans="1:38">
      <c r="A141" s="14" t="s">
        <v>261</v>
      </c>
      <c r="B141" s="14">
        <v>80062113</v>
      </c>
      <c r="C141" s="14">
        <v>80062113</v>
      </c>
      <c r="D141" s="18" t="s">
        <v>18</v>
      </c>
      <c r="E141" s="18" t="s">
        <v>99</v>
      </c>
      <c r="F141" s="14" t="s">
        <v>181</v>
      </c>
      <c r="G141" s="14" t="s">
        <v>181</v>
      </c>
      <c r="H141" s="14" t="s">
        <v>181</v>
      </c>
      <c r="I141" s="14" t="s">
        <v>176</v>
      </c>
      <c r="J141" s="14" t="s">
        <v>175</v>
      </c>
      <c r="K141" s="14" t="s">
        <v>175</v>
      </c>
      <c r="L141" s="14" t="s">
        <v>175</v>
      </c>
      <c r="M141" s="14" t="s">
        <v>175</v>
      </c>
      <c r="N141" s="14" t="s">
        <v>175</v>
      </c>
      <c r="O141" s="14" t="s">
        <v>175</v>
      </c>
      <c r="P141" s="14" t="s">
        <v>181</v>
      </c>
      <c r="Q141" s="14" t="s">
        <v>181</v>
      </c>
      <c r="R141" s="14" t="s">
        <v>181</v>
      </c>
      <c r="S141" s="14" t="s">
        <v>179</v>
      </c>
      <c r="T141" s="14" t="s">
        <v>181</v>
      </c>
      <c r="U141" s="14" t="s">
        <v>181</v>
      </c>
      <c r="V141" s="14" t="s">
        <v>181</v>
      </c>
      <c r="W141" s="14" t="s">
        <v>176</v>
      </c>
      <c r="X141" s="14" t="s">
        <v>175</v>
      </c>
      <c r="Y141" s="14" t="s">
        <v>175</v>
      </c>
      <c r="Z141" s="14" t="s">
        <v>175</v>
      </c>
      <c r="AL141" t="str">
        <f>IFERROR(_xlfn.XLOOKUP(E141, Branches!$B$2:$B$100, Branches!$C$2:$C$100, "خطأ في الكود"), "")</f>
        <v>Othman Al Sagri</v>
      </c>
    </row>
    <row r="142" spans="1:38">
      <c r="A142" s="18" t="s">
        <v>262</v>
      </c>
      <c r="B142" s="18">
        <v>80065435</v>
      </c>
      <c r="C142" s="18">
        <v>80065435</v>
      </c>
      <c r="D142" s="18" t="s">
        <v>18</v>
      </c>
      <c r="E142" s="18" t="s">
        <v>75</v>
      </c>
      <c r="F142" s="18" t="s">
        <v>175</v>
      </c>
      <c r="G142" s="18" t="s">
        <v>175</v>
      </c>
      <c r="H142" s="18" t="s">
        <v>175</v>
      </c>
      <c r="I142" s="18" t="s">
        <v>176</v>
      </c>
      <c r="J142" s="18" t="s">
        <v>175</v>
      </c>
      <c r="K142" s="19" t="s">
        <v>177</v>
      </c>
      <c r="L142" s="18" t="s">
        <v>175</v>
      </c>
      <c r="M142" s="18" t="s">
        <v>175</v>
      </c>
      <c r="N142" s="19" t="s">
        <v>177</v>
      </c>
      <c r="O142" s="18" t="s">
        <v>175</v>
      </c>
      <c r="P142" s="18" t="s">
        <v>176</v>
      </c>
      <c r="Q142" s="18" t="s">
        <v>181</v>
      </c>
      <c r="R142" s="18" t="s">
        <v>175</v>
      </c>
      <c r="S142" s="18" t="s">
        <v>175</v>
      </c>
      <c r="T142" s="18" t="s">
        <v>175</v>
      </c>
      <c r="U142" s="18" t="s">
        <v>175</v>
      </c>
      <c r="V142" s="18" t="s">
        <v>175</v>
      </c>
      <c r="W142" s="18" t="s">
        <v>176</v>
      </c>
      <c r="X142" s="18" t="s">
        <v>175</v>
      </c>
      <c r="Y142" s="18" t="s">
        <v>175</v>
      </c>
      <c r="Z142" s="18" t="s">
        <v>175</v>
      </c>
      <c r="AL142" t="str">
        <f>IFERROR(_xlfn.XLOOKUP(E142, Branches!$B$2:$B$100, Branches!$C$2:$C$100, "خطأ في الكود"), "")</f>
        <v>Othman Al Sagri</v>
      </c>
    </row>
    <row r="143" spans="1:38">
      <c r="A143" s="14" t="s">
        <v>263</v>
      </c>
      <c r="B143" s="14">
        <v>80129477</v>
      </c>
      <c r="C143" s="14">
        <v>80129477</v>
      </c>
      <c r="D143" s="18" t="s">
        <v>27</v>
      </c>
      <c r="E143" s="18" t="s">
        <v>67</v>
      </c>
      <c r="F143" s="14" t="s">
        <v>175</v>
      </c>
      <c r="G143" s="14" t="s">
        <v>175</v>
      </c>
      <c r="H143" s="14" t="s">
        <v>175</v>
      </c>
      <c r="I143" s="14" t="s">
        <v>176</v>
      </c>
      <c r="J143" s="14" t="s">
        <v>181</v>
      </c>
      <c r="K143" s="14" t="s">
        <v>181</v>
      </c>
      <c r="L143" s="14" t="s">
        <v>181</v>
      </c>
      <c r="M143" s="14" t="s">
        <v>181</v>
      </c>
      <c r="N143" s="14" t="s">
        <v>181</v>
      </c>
      <c r="O143" s="14" t="s">
        <v>176</v>
      </c>
      <c r="P143" s="14" t="s">
        <v>181</v>
      </c>
      <c r="Q143" s="14" t="s">
        <v>175</v>
      </c>
      <c r="R143" s="14" t="s">
        <v>175</v>
      </c>
      <c r="S143" s="14" t="s">
        <v>175</v>
      </c>
      <c r="T143" s="14" t="s">
        <v>175</v>
      </c>
      <c r="U143" s="14" t="s">
        <v>175</v>
      </c>
      <c r="V143" s="14" t="s">
        <v>175</v>
      </c>
      <c r="W143" s="14" t="s">
        <v>176</v>
      </c>
      <c r="X143" s="14" t="s">
        <v>181</v>
      </c>
      <c r="Y143" s="14" t="s">
        <v>181</v>
      </c>
      <c r="Z143" s="14" t="s">
        <v>181</v>
      </c>
      <c r="AL143" t="str">
        <f>IFERROR(_xlfn.XLOOKUP(E143, Branches!$B$2:$B$100, Branches!$C$2:$C$100, "خطأ في الكود"), "")</f>
        <v>Mohammed Gobran Abdali</v>
      </c>
    </row>
    <row r="144" spans="1:38">
      <c r="A144" s="18" t="s">
        <v>264</v>
      </c>
      <c r="B144" s="18">
        <v>80125128</v>
      </c>
      <c r="C144" s="18">
        <v>80125128</v>
      </c>
      <c r="D144" s="18" t="s">
        <v>18</v>
      </c>
      <c r="E144" s="18" t="s">
        <v>117</v>
      </c>
      <c r="F144" s="18" t="s">
        <v>181</v>
      </c>
      <c r="G144" s="18" t="s">
        <v>181</v>
      </c>
      <c r="H144" s="18" t="s">
        <v>181</v>
      </c>
      <c r="I144" s="18" t="s">
        <v>176</v>
      </c>
      <c r="J144" s="18" t="s">
        <v>181</v>
      </c>
      <c r="K144" s="18" t="s">
        <v>175</v>
      </c>
      <c r="L144" s="18" t="s">
        <v>175</v>
      </c>
      <c r="M144" s="18" t="s">
        <v>175</v>
      </c>
      <c r="N144" s="18" t="s">
        <v>181</v>
      </c>
      <c r="O144" s="18" t="s">
        <v>175</v>
      </c>
      <c r="P144" s="18" t="s">
        <v>176</v>
      </c>
      <c r="Q144" s="18" t="s">
        <v>175</v>
      </c>
      <c r="R144" s="18" t="s">
        <v>181</v>
      </c>
      <c r="S144" s="18" t="s">
        <v>181</v>
      </c>
      <c r="T144" s="19" t="s">
        <v>178</v>
      </c>
      <c r="U144" s="18" t="s">
        <v>181</v>
      </c>
      <c r="V144" s="18" t="s">
        <v>181</v>
      </c>
      <c r="W144" s="18" t="s">
        <v>181</v>
      </c>
      <c r="X144" s="18" t="s">
        <v>176</v>
      </c>
      <c r="Y144" s="18" t="s">
        <v>181</v>
      </c>
      <c r="Z144" s="18" t="s">
        <v>181</v>
      </c>
      <c r="AL144" t="str">
        <f>IFERROR(_xlfn.XLOOKUP(E144, Branches!$B$2:$B$100, Branches!$C$2:$C$100, "خطأ في الكود"), "")</f>
        <v>Zayed Al Subaie</v>
      </c>
    </row>
    <row r="145" spans="1:38">
      <c r="A145" s="14" t="s">
        <v>265</v>
      </c>
      <c r="B145" s="14">
        <v>80114169</v>
      </c>
      <c r="C145" s="14">
        <v>80114169</v>
      </c>
      <c r="D145" s="18" t="s">
        <v>30</v>
      </c>
      <c r="E145" s="18" t="s">
        <v>57</v>
      </c>
      <c r="F145" s="14" t="s">
        <v>184</v>
      </c>
      <c r="G145" s="14" t="s">
        <v>184</v>
      </c>
      <c r="H145" s="14" t="s">
        <v>184</v>
      </c>
      <c r="I145" s="14" t="s">
        <v>184</v>
      </c>
      <c r="J145" s="14" t="s">
        <v>184</v>
      </c>
      <c r="K145" s="14" t="s">
        <v>184</v>
      </c>
      <c r="L145" s="14" t="s">
        <v>184</v>
      </c>
      <c r="M145" s="14" t="s">
        <v>184</v>
      </c>
      <c r="N145" s="14" t="s">
        <v>184</v>
      </c>
      <c r="O145" s="14" t="s">
        <v>184</v>
      </c>
      <c r="P145" s="14" t="s">
        <v>184</v>
      </c>
      <c r="Q145" s="14" t="s">
        <v>184</v>
      </c>
      <c r="R145" s="14" t="s">
        <v>184</v>
      </c>
      <c r="S145" s="14" t="s">
        <v>184</v>
      </c>
      <c r="T145" s="14" t="s">
        <v>184</v>
      </c>
      <c r="U145" s="14" t="s">
        <v>184</v>
      </c>
      <c r="V145" s="14" t="s">
        <v>184</v>
      </c>
      <c r="W145" s="14" t="s">
        <v>184</v>
      </c>
      <c r="X145" s="14" t="s">
        <v>184</v>
      </c>
      <c r="Y145" s="14" t="s">
        <v>184</v>
      </c>
      <c r="Z145" s="14" t="s">
        <v>175</v>
      </c>
      <c r="AL145" t="str">
        <f>IFERROR(_xlfn.XLOOKUP(E145, Branches!$B$2:$B$100, Branches!$C$2:$C$100, "خطأ في الكود"), "")</f>
        <v>Abdul Rahman Mohsen Al Enzi</v>
      </c>
    </row>
    <row r="146" spans="1:38">
      <c r="A146" s="18" t="s">
        <v>266</v>
      </c>
      <c r="B146" s="18">
        <v>80100025</v>
      </c>
      <c r="C146" s="18">
        <v>80100025</v>
      </c>
      <c r="D146" s="18" t="s">
        <v>18</v>
      </c>
      <c r="E146" s="18" t="s">
        <v>143</v>
      </c>
      <c r="F146" s="19" t="s">
        <v>178</v>
      </c>
      <c r="G146" s="18" t="s">
        <v>181</v>
      </c>
      <c r="H146" s="18" t="s">
        <v>181</v>
      </c>
      <c r="I146" s="18" t="s">
        <v>176</v>
      </c>
      <c r="J146" s="18" t="s">
        <v>181</v>
      </c>
      <c r="K146" s="18" t="s">
        <v>181</v>
      </c>
      <c r="L146" s="18" t="s">
        <v>181</v>
      </c>
      <c r="M146" s="18" t="s">
        <v>181</v>
      </c>
      <c r="N146" s="15" t="s">
        <v>180</v>
      </c>
      <c r="O146" s="15" t="s">
        <v>180</v>
      </c>
      <c r="P146" s="18" t="s">
        <v>176</v>
      </c>
      <c r="Q146" s="19" t="s">
        <v>178</v>
      </c>
      <c r="R146" s="18" t="s">
        <v>181</v>
      </c>
      <c r="S146" s="18" t="s">
        <v>181</v>
      </c>
      <c r="T146" s="18" t="s">
        <v>181</v>
      </c>
      <c r="U146" s="18" t="s">
        <v>181</v>
      </c>
      <c r="V146" s="18" t="s">
        <v>181</v>
      </c>
      <c r="W146" s="18" t="s">
        <v>176</v>
      </c>
      <c r="X146" s="18" t="s">
        <v>181</v>
      </c>
      <c r="Y146" s="18" t="s">
        <v>181</v>
      </c>
      <c r="Z146" s="18" t="s">
        <v>181</v>
      </c>
      <c r="AL146" t="str">
        <f>IFERROR(_xlfn.XLOOKUP(E146, Branches!$B$2:$B$100, Branches!$C$2:$C$100, "خطأ في الكود"), "")</f>
        <v>Zayed Al Subaie</v>
      </c>
    </row>
    <row r="147" spans="1:38">
      <c r="A147" s="14" t="s">
        <v>267</v>
      </c>
      <c r="B147" s="14">
        <v>80085854</v>
      </c>
      <c r="C147" s="14">
        <v>80085854</v>
      </c>
      <c r="D147" s="18" t="s">
        <v>30</v>
      </c>
      <c r="E147" s="18" t="s">
        <v>129</v>
      </c>
      <c r="F147" s="19" t="s">
        <v>178</v>
      </c>
      <c r="G147" s="19" t="s">
        <v>178</v>
      </c>
      <c r="H147" s="19" t="s">
        <v>178</v>
      </c>
      <c r="I147" s="19" t="s">
        <v>178</v>
      </c>
      <c r="J147" s="14" t="s">
        <v>176</v>
      </c>
      <c r="K147" s="19" t="s">
        <v>178</v>
      </c>
      <c r="L147" s="19" t="s">
        <v>178</v>
      </c>
      <c r="M147" s="14" t="s">
        <v>181</v>
      </c>
      <c r="N147" s="14" t="s">
        <v>181</v>
      </c>
      <c r="O147" s="15" t="s">
        <v>180</v>
      </c>
      <c r="P147" s="14" t="s">
        <v>176</v>
      </c>
      <c r="Q147" s="14" t="s">
        <v>175</v>
      </c>
      <c r="R147" s="19" t="s">
        <v>177</v>
      </c>
      <c r="S147" s="14" t="s">
        <v>175</v>
      </c>
      <c r="T147" s="19" t="s">
        <v>177</v>
      </c>
      <c r="U147" s="14" t="s">
        <v>175</v>
      </c>
      <c r="V147" s="14" t="s">
        <v>175</v>
      </c>
      <c r="W147" s="14" t="s">
        <v>181</v>
      </c>
      <c r="X147" s="14" t="s">
        <v>176</v>
      </c>
      <c r="Y147" s="14" t="s">
        <v>181</v>
      </c>
      <c r="Z147" s="14" t="s">
        <v>181</v>
      </c>
      <c r="AL147" t="str">
        <f>IFERROR(_xlfn.XLOOKUP(E147, Branches!$B$2:$B$100, Branches!$C$2:$C$100, "خطأ في الكود"), "")</f>
        <v>Bandar Garziz</v>
      </c>
    </row>
    <row r="148" spans="1:38">
      <c r="A148" s="18" t="s">
        <v>268</v>
      </c>
      <c r="B148" s="18">
        <v>80117078</v>
      </c>
      <c r="C148" s="18">
        <v>80117078</v>
      </c>
      <c r="D148" s="18" t="s">
        <v>18</v>
      </c>
      <c r="E148" s="18" t="s">
        <v>145</v>
      </c>
      <c r="F148" s="18" t="s">
        <v>181</v>
      </c>
      <c r="G148" s="18" t="s">
        <v>181</v>
      </c>
      <c r="H148" s="18" t="s">
        <v>176</v>
      </c>
      <c r="I148" s="18" t="s">
        <v>181</v>
      </c>
      <c r="J148" s="18" t="s">
        <v>181</v>
      </c>
      <c r="K148" s="18" t="s">
        <v>181</v>
      </c>
      <c r="L148" s="18" t="s">
        <v>181</v>
      </c>
      <c r="M148" s="18" t="s">
        <v>181</v>
      </c>
      <c r="N148" s="18" t="s">
        <v>181</v>
      </c>
      <c r="O148" s="18" t="s">
        <v>176</v>
      </c>
      <c r="P148" s="18" t="s">
        <v>181</v>
      </c>
      <c r="Q148" s="18" t="s">
        <v>181</v>
      </c>
      <c r="R148" s="18" t="s">
        <v>181</v>
      </c>
      <c r="S148" s="19" t="s">
        <v>178</v>
      </c>
      <c r="T148" s="18" t="s">
        <v>181</v>
      </c>
      <c r="U148" s="18" t="s">
        <v>181</v>
      </c>
      <c r="V148" s="18" t="s">
        <v>176</v>
      </c>
      <c r="W148" s="18" t="s">
        <v>181</v>
      </c>
      <c r="X148" s="18" t="s">
        <v>181</v>
      </c>
      <c r="Y148" s="18" t="s">
        <v>181</v>
      </c>
      <c r="Z148" s="18" t="s">
        <v>181</v>
      </c>
      <c r="AL148" t="str">
        <f>IFERROR(_xlfn.XLOOKUP(E148, Branches!$B$2:$B$100, Branches!$C$2:$C$100, "خطأ في الكود"), "")</f>
        <v>Zayed Al Subaie</v>
      </c>
    </row>
    <row r="149" spans="1:38">
      <c r="A149" s="14" t="s">
        <v>269</v>
      </c>
      <c r="B149" s="14">
        <v>80124866</v>
      </c>
      <c r="C149" s="14">
        <v>80124866</v>
      </c>
      <c r="D149" s="18" t="s">
        <v>30</v>
      </c>
      <c r="E149" s="18" t="s">
        <v>129</v>
      </c>
      <c r="F149" s="14" t="s">
        <v>175</v>
      </c>
      <c r="G149" s="14" t="s">
        <v>175</v>
      </c>
      <c r="H149" s="14" t="s">
        <v>175</v>
      </c>
      <c r="I149" s="14" t="s">
        <v>176</v>
      </c>
      <c r="J149" s="14" t="s">
        <v>175</v>
      </c>
      <c r="K149" s="19" t="s">
        <v>177</v>
      </c>
      <c r="L149" s="14" t="s">
        <v>175</v>
      </c>
      <c r="M149" s="19" t="s">
        <v>177</v>
      </c>
      <c r="N149" s="19" t="s">
        <v>177</v>
      </c>
      <c r="O149" s="19" t="s">
        <v>177</v>
      </c>
      <c r="P149" s="14" t="s">
        <v>181</v>
      </c>
      <c r="Q149" s="14" t="s">
        <v>176</v>
      </c>
      <c r="R149" s="14" t="s">
        <v>181</v>
      </c>
      <c r="S149" s="14" t="s">
        <v>181</v>
      </c>
      <c r="T149" s="14" t="s">
        <v>181</v>
      </c>
      <c r="U149" s="14" t="s">
        <v>181</v>
      </c>
      <c r="V149" s="19" t="s">
        <v>178</v>
      </c>
      <c r="W149" s="15" t="s">
        <v>180</v>
      </c>
      <c r="X149" s="14" t="s">
        <v>179</v>
      </c>
      <c r="Y149" s="14" t="s">
        <v>175</v>
      </c>
      <c r="Z149" s="14" t="s">
        <v>175</v>
      </c>
      <c r="AL149" t="str">
        <f>IFERROR(_xlfn.XLOOKUP(E149, Branches!$B$2:$B$100, Branches!$C$2:$C$100, "خطأ في الكود"), "")</f>
        <v>Bandar Garziz</v>
      </c>
    </row>
    <row r="150" spans="1:38">
      <c r="A150" s="18" t="s">
        <v>156</v>
      </c>
      <c r="B150" s="18">
        <v>80122132</v>
      </c>
      <c r="C150" s="18">
        <v>80122132</v>
      </c>
      <c r="D150" s="18" t="s">
        <v>41</v>
      </c>
      <c r="E150" s="18" t="s">
        <v>157</v>
      </c>
      <c r="F150" s="18" t="s">
        <v>175</v>
      </c>
      <c r="G150" s="18" t="s">
        <v>175</v>
      </c>
      <c r="H150" s="18" t="s">
        <v>175</v>
      </c>
      <c r="I150" s="18" t="s">
        <v>176</v>
      </c>
      <c r="J150" s="18" t="s">
        <v>175</v>
      </c>
      <c r="K150" s="19" t="s">
        <v>177</v>
      </c>
      <c r="L150" s="18" t="s">
        <v>175</v>
      </c>
      <c r="M150" s="18" t="s">
        <v>175</v>
      </c>
      <c r="N150" s="18" t="s">
        <v>175</v>
      </c>
      <c r="O150" s="18" t="s">
        <v>175</v>
      </c>
      <c r="P150" s="18" t="s">
        <v>176</v>
      </c>
      <c r="Q150" s="18" t="s">
        <v>181</v>
      </c>
      <c r="R150" s="18" t="s">
        <v>181</v>
      </c>
      <c r="S150" s="18" t="s">
        <v>181</v>
      </c>
      <c r="T150" s="18" t="s">
        <v>181</v>
      </c>
      <c r="U150" s="19" t="s">
        <v>178</v>
      </c>
      <c r="V150" s="19" t="s">
        <v>178</v>
      </c>
      <c r="W150" s="19" t="s">
        <v>178</v>
      </c>
      <c r="X150" s="18" t="s">
        <v>176</v>
      </c>
      <c r="Y150" s="19" t="s">
        <v>178</v>
      </c>
      <c r="Z150" s="19" t="s">
        <v>178</v>
      </c>
      <c r="AL150" t="str">
        <f>IFERROR(_xlfn.XLOOKUP(E150, Branches!$B$2:$B$100, Branches!$C$2:$C$100, "خطأ في الكود"), "")</f>
        <v>Mohammed Al - Gahtani</v>
      </c>
    </row>
    <row r="151" spans="1:38">
      <c r="A151" s="14" t="s">
        <v>270</v>
      </c>
      <c r="B151" s="14">
        <v>80079090</v>
      </c>
      <c r="C151" s="14">
        <v>80079090</v>
      </c>
      <c r="D151" s="18" t="s">
        <v>41</v>
      </c>
      <c r="E151" s="18" t="s">
        <v>81</v>
      </c>
      <c r="F151" s="14" t="s">
        <v>440</v>
      </c>
      <c r="G151" s="14" t="s">
        <v>205</v>
      </c>
      <c r="H151" s="19" t="s">
        <v>178</v>
      </c>
      <c r="I151" s="14" t="s">
        <v>176</v>
      </c>
      <c r="J151" s="14" t="s">
        <v>181</v>
      </c>
      <c r="K151" s="14" t="s">
        <v>181</v>
      </c>
      <c r="L151" s="14" t="s">
        <v>181</v>
      </c>
      <c r="M151" s="14" t="s">
        <v>181</v>
      </c>
      <c r="N151" s="14" t="s">
        <v>184</v>
      </c>
      <c r="O151" s="15" t="s">
        <v>180</v>
      </c>
      <c r="P151" s="14" t="s">
        <v>176</v>
      </c>
      <c r="Q151" s="14" t="s">
        <v>192</v>
      </c>
      <c r="R151" s="19" t="s">
        <v>177</v>
      </c>
      <c r="S151" s="14" t="s">
        <v>205</v>
      </c>
      <c r="T151" s="19" t="s">
        <v>177</v>
      </c>
      <c r="U151" s="14" t="s">
        <v>175</v>
      </c>
      <c r="V151" s="14" t="s">
        <v>175</v>
      </c>
      <c r="W151" s="14" t="s">
        <v>176</v>
      </c>
      <c r="X151" s="14" t="s">
        <v>181</v>
      </c>
      <c r="Y151" s="14" t="s">
        <v>181</v>
      </c>
      <c r="Z151" s="14" t="s">
        <v>181</v>
      </c>
      <c r="AL151" t="str">
        <f>IFERROR(_xlfn.XLOOKUP(E151, Branches!$B$2:$B$100, Branches!$C$2:$C$100, "خطأ في الكود"), "")</f>
        <v>Mohammed Al - Gahtani</v>
      </c>
    </row>
    <row r="152" spans="1:38">
      <c r="A152" s="18" t="s">
        <v>271</v>
      </c>
      <c r="B152" s="18">
        <v>80093526</v>
      </c>
      <c r="C152" s="18">
        <v>80093526</v>
      </c>
      <c r="D152" s="18" t="s">
        <v>41</v>
      </c>
      <c r="E152" s="18" t="s">
        <v>141</v>
      </c>
      <c r="F152" s="18" t="s">
        <v>184</v>
      </c>
      <c r="G152" s="18" t="s">
        <v>184</v>
      </c>
      <c r="H152" s="18" t="s">
        <v>184</v>
      </c>
      <c r="I152" s="18" t="s">
        <v>184</v>
      </c>
      <c r="J152" s="18" t="s">
        <v>184</v>
      </c>
      <c r="K152" s="19" t="s">
        <v>177</v>
      </c>
      <c r="L152" s="19" t="s">
        <v>177</v>
      </c>
      <c r="M152" s="19" t="s">
        <v>177</v>
      </c>
      <c r="N152" s="19" t="s">
        <v>177</v>
      </c>
      <c r="O152" s="15" t="s">
        <v>189</v>
      </c>
      <c r="P152" s="18" t="s">
        <v>179</v>
      </c>
      <c r="Q152" s="18" t="s">
        <v>179</v>
      </c>
      <c r="R152" s="15" t="s">
        <v>189</v>
      </c>
      <c r="S152" s="19" t="s">
        <v>177</v>
      </c>
      <c r="T152" s="19" t="s">
        <v>177</v>
      </c>
      <c r="U152" s="19" t="s">
        <v>177</v>
      </c>
      <c r="V152" s="19" t="s">
        <v>177</v>
      </c>
      <c r="W152" s="18" t="s">
        <v>179</v>
      </c>
      <c r="X152" s="18" t="s">
        <v>179</v>
      </c>
      <c r="Y152" s="15" t="s">
        <v>189</v>
      </c>
      <c r="Z152" s="19" t="s">
        <v>177</v>
      </c>
      <c r="AL152" t="str">
        <f>IFERROR(_xlfn.XLOOKUP(E152, Branches!$B$2:$B$100, Branches!$C$2:$C$100, "خطأ في الكود"), "")</f>
        <v>Mohammed Al - Gahtani</v>
      </c>
    </row>
    <row r="153" spans="1:38">
      <c r="A153" s="14" t="s">
        <v>272</v>
      </c>
      <c r="B153" s="14">
        <v>80051240</v>
      </c>
      <c r="C153" s="14">
        <v>80051240</v>
      </c>
      <c r="D153" s="18" t="s">
        <v>18</v>
      </c>
      <c r="E153" s="18" t="s">
        <v>39</v>
      </c>
      <c r="F153" s="14" t="s">
        <v>181</v>
      </c>
      <c r="G153" s="14" t="s">
        <v>181</v>
      </c>
      <c r="H153" s="14" t="s">
        <v>184</v>
      </c>
      <c r="I153" s="14" t="s">
        <v>184</v>
      </c>
      <c r="J153" s="14" t="s">
        <v>176</v>
      </c>
      <c r="K153" s="14" t="s">
        <v>181</v>
      </c>
      <c r="L153" s="14" t="s">
        <v>181</v>
      </c>
      <c r="M153" s="14" t="s">
        <v>181</v>
      </c>
      <c r="N153" s="14" t="s">
        <v>181</v>
      </c>
      <c r="O153" s="14" t="s">
        <v>181</v>
      </c>
      <c r="P153" s="14" t="s">
        <v>176</v>
      </c>
      <c r="Q153" s="14" t="s">
        <v>175</v>
      </c>
      <c r="R153" s="14" t="s">
        <v>175</v>
      </c>
      <c r="S153" s="14" t="s">
        <v>175</v>
      </c>
      <c r="T153" s="14" t="s">
        <v>175</v>
      </c>
      <c r="U153" s="14" t="s">
        <v>175</v>
      </c>
      <c r="V153" s="14" t="s">
        <v>181</v>
      </c>
      <c r="W153" s="14" t="s">
        <v>176</v>
      </c>
      <c r="X153" s="14" t="s">
        <v>181</v>
      </c>
      <c r="Y153" s="14" t="s">
        <v>181</v>
      </c>
      <c r="Z153" s="14" t="s">
        <v>175</v>
      </c>
      <c r="AL153" t="str">
        <f>IFERROR(_xlfn.XLOOKUP(E153, Branches!$B$2:$B$100, Branches!$C$2:$C$100, "خطأ في الكود"), "")</f>
        <v>Othman Al Sagri</v>
      </c>
    </row>
    <row r="154" spans="1:38">
      <c r="A154" s="18" t="s">
        <v>273</v>
      </c>
      <c r="B154" s="18">
        <v>80111330</v>
      </c>
      <c r="C154" s="18">
        <v>80111330</v>
      </c>
      <c r="D154" s="18" t="s">
        <v>18</v>
      </c>
      <c r="E154" s="18" t="s">
        <v>115</v>
      </c>
      <c r="F154" s="18" t="s">
        <v>205</v>
      </c>
      <c r="G154" s="19" t="s">
        <v>178</v>
      </c>
      <c r="H154" s="18" t="s">
        <v>176</v>
      </c>
      <c r="I154" s="19" t="s">
        <v>178</v>
      </c>
      <c r="J154" s="18" t="s">
        <v>181</v>
      </c>
      <c r="K154" s="18" t="s">
        <v>181</v>
      </c>
      <c r="L154" s="18" t="s">
        <v>181</v>
      </c>
      <c r="M154" s="18" t="s">
        <v>181</v>
      </c>
      <c r="N154" s="18" t="s">
        <v>181</v>
      </c>
      <c r="O154" s="18" t="s">
        <v>179</v>
      </c>
      <c r="P154" s="18" t="s">
        <v>181</v>
      </c>
      <c r="Q154" s="18" t="s">
        <v>179</v>
      </c>
      <c r="R154" s="19" t="s">
        <v>178</v>
      </c>
      <c r="S154" s="18" t="s">
        <v>181</v>
      </c>
      <c r="T154" s="15" t="s">
        <v>180</v>
      </c>
      <c r="U154" s="18" t="s">
        <v>175</v>
      </c>
      <c r="V154" s="18" t="s">
        <v>175</v>
      </c>
      <c r="W154" s="15" t="s">
        <v>180</v>
      </c>
      <c r="X154" s="18" t="s">
        <v>179</v>
      </c>
      <c r="Y154" s="18" t="s">
        <v>175</v>
      </c>
      <c r="Z154" s="19" t="s">
        <v>177</v>
      </c>
      <c r="AL154" t="str">
        <f>IFERROR(_xlfn.XLOOKUP(E154, Branches!$B$2:$B$100, Branches!$C$2:$C$100, "خطأ في الكود"), "")</f>
        <v>Zayed Al Subaie</v>
      </c>
    </row>
    <row r="155" spans="1:38">
      <c r="A155" s="14" t="s">
        <v>274</v>
      </c>
      <c r="B155" s="14">
        <v>80125327</v>
      </c>
      <c r="C155" s="14">
        <v>80125327</v>
      </c>
      <c r="D155" s="18" t="s">
        <v>27</v>
      </c>
      <c r="E155" s="18" t="s">
        <v>33</v>
      </c>
      <c r="F155" s="14" t="s">
        <v>181</v>
      </c>
      <c r="G155" s="14" t="s">
        <v>181</v>
      </c>
      <c r="H155" s="14" t="s">
        <v>181</v>
      </c>
      <c r="I155" s="14" t="s">
        <v>181</v>
      </c>
      <c r="J155" s="14" t="s">
        <v>176</v>
      </c>
      <c r="K155" s="14" t="s">
        <v>181</v>
      </c>
      <c r="L155" s="14" t="s">
        <v>181</v>
      </c>
      <c r="M155" s="14" t="s">
        <v>181</v>
      </c>
      <c r="N155" s="14" t="s">
        <v>181</v>
      </c>
      <c r="O155" s="14" t="s">
        <v>176</v>
      </c>
      <c r="P155" s="14" t="s">
        <v>181</v>
      </c>
      <c r="Q155" s="14" t="s">
        <v>175</v>
      </c>
      <c r="R155" s="14" t="s">
        <v>175</v>
      </c>
      <c r="S155" s="14" t="s">
        <v>175</v>
      </c>
      <c r="T155" s="14" t="s">
        <v>175</v>
      </c>
      <c r="U155" s="14" t="s">
        <v>175</v>
      </c>
      <c r="V155" s="14" t="s">
        <v>175</v>
      </c>
      <c r="W155" s="14" t="s">
        <v>176</v>
      </c>
      <c r="X155" s="14" t="s">
        <v>181</v>
      </c>
      <c r="Y155" s="14" t="s">
        <v>181</v>
      </c>
      <c r="Z155" s="14" t="s">
        <v>181</v>
      </c>
      <c r="AL155" t="str">
        <f>IFERROR(_xlfn.XLOOKUP(E155, Branches!$B$2:$B$100, Branches!$C$2:$C$100, "خطأ في الكود"), "")</f>
        <v>Mohammed Gobran Abdali</v>
      </c>
    </row>
    <row r="156" spans="1:38">
      <c r="A156" s="18" t="s">
        <v>275</v>
      </c>
      <c r="B156" s="18">
        <v>80112419</v>
      </c>
      <c r="C156" s="18">
        <v>80112419</v>
      </c>
      <c r="D156" s="18" t="s">
        <v>18</v>
      </c>
      <c r="E156" s="18" t="s">
        <v>69</v>
      </c>
      <c r="F156" s="18" t="s">
        <v>184</v>
      </c>
      <c r="G156" s="19" t="s">
        <v>177</v>
      </c>
      <c r="H156" s="18" t="s">
        <v>175</v>
      </c>
      <c r="I156" s="18" t="s">
        <v>176</v>
      </c>
      <c r="J156" s="18" t="s">
        <v>181</v>
      </c>
      <c r="K156" s="18" t="s">
        <v>175</v>
      </c>
      <c r="L156" s="18" t="s">
        <v>175</v>
      </c>
      <c r="M156" s="19" t="s">
        <v>177</v>
      </c>
      <c r="N156" s="19" t="s">
        <v>177</v>
      </c>
      <c r="O156" s="18" t="s">
        <v>175</v>
      </c>
      <c r="P156" s="18" t="s">
        <v>176</v>
      </c>
      <c r="Q156" s="18" t="s">
        <v>181</v>
      </c>
      <c r="R156" s="18" t="s">
        <v>175</v>
      </c>
      <c r="S156" s="18" t="s">
        <v>175</v>
      </c>
      <c r="T156" s="18" t="s">
        <v>175</v>
      </c>
      <c r="U156" s="18" t="s">
        <v>175</v>
      </c>
      <c r="V156" s="19" t="s">
        <v>177</v>
      </c>
      <c r="W156" s="18" t="s">
        <v>176</v>
      </c>
      <c r="X156" s="18" t="s">
        <v>181</v>
      </c>
      <c r="Y156" s="18" t="s">
        <v>175</v>
      </c>
      <c r="Z156" s="18" t="s">
        <v>175</v>
      </c>
      <c r="AL156" t="str">
        <f>IFERROR(_xlfn.XLOOKUP(E156, Branches!$B$2:$B$100, Branches!$C$2:$C$100, "خطأ في الكود"), "")</f>
        <v>Zayed Al Subaie</v>
      </c>
    </row>
    <row r="157" spans="1:38">
      <c r="A157" s="14" t="s">
        <v>276</v>
      </c>
      <c r="B157" s="14">
        <v>80099977</v>
      </c>
      <c r="C157" s="14">
        <v>80099977</v>
      </c>
      <c r="D157" s="18" t="s">
        <v>46</v>
      </c>
      <c r="E157" s="18" t="s">
        <v>49</v>
      </c>
      <c r="F157" s="14" t="s">
        <v>184</v>
      </c>
      <c r="G157" s="14" t="s">
        <v>184</v>
      </c>
      <c r="H157" s="14" t="s">
        <v>176</v>
      </c>
      <c r="I157" s="14" t="s">
        <v>181</v>
      </c>
      <c r="J157" s="14" t="s">
        <v>181</v>
      </c>
      <c r="K157" s="14" t="s">
        <v>181</v>
      </c>
      <c r="L157" s="14" t="s">
        <v>181</v>
      </c>
      <c r="M157" s="14" t="s">
        <v>181</v>
      </c>
      <c r="N157" s="14" t="s">
        <v>181</v>
      </c>
      <c r="O157" s="15" t="s">
        <v>180</v>
      </c>
      <c r="P157" s="14" t="s">
        <v>176</v>
      </c>
      <c r="Q157" s="14" t="s">
        <v>181</v>
      </c>
      <c r="R157" s="14" t="s">
        <v>181</v>
      </c>
      <c r="S157" s="14" t="s">
        <v>181</v>
      </c>
      <c r="T157" s="14" t="s">
        <v>181</v>
      </c>
      <c r="U157" s="14" t="s">
        <v>192</v>
      </c>
      <c r="V157" s="14" t="s">
        <v>175</v>
      </c>
      <c r="W157" s="14" t="s">
        <v>176</v>
      </c>
      <c r="X157" s="14" t="s">
        <v>175</v>
      </c>
      <c r="Y157" s="14" t="s">
        <v>175</v>
      </c>
      <c r="Z157" s="14" t="s">
        <v>175</v>
      </c>
      <c r="AL157" t="str">
        <f>IFERROR(_xlfn.XLOOKUP(E157, Branches!$B$2:$B$100, Branches!$C$2:$C$100, "خطأ في الكود"), "")</f>
        <v>Musab Hakami</v>
      </c>
    </row>
    <row r="158" spans="1:38">
      <c r="A158" s="18" t="s">
        <v>158</v>
      </c>
      <c r="B158" s="18">
        <v>80042826</v>
      </c>
      <c r="C158" s="18">
        <v>80042826</v>
      </c>
      <c r="D158" s="18" t="s">
        <v>46</v>
      </c>
      <c r="E158" s="18" t="s">
        <v>159</v>
      </c>
      <c r="F158" s="18" t="s">
        <v>192</v>
      </c>
      <c r="G158" s="18" t="s">
        <v>175</v>
      </c>
      <c r="H158" s="18" t="s">
        <v>175</v>
      </c>
      <c r="I158" s="18" t="s">
        <v>176</v>
      </c>
      <c r="J158" s="18" t="s">
        <v>181</v>
      </c>
      <c r="K158" s="18" t="s">
        <v>277</v>
      </c>
      <c r="L158" s="18" t="s">
        <v>277</v>
      </c>
      <c r="M158" s="18" t="s">
        <v>181</v>
      </c>
      <c r="N158" s="18" t="s">
        <v>181</v>
      </c>
      <c r="O158" s="15" t="s">
        <v>180</v>
      </c>
      <c r="P158" s="18" t="s">
        <v>181</v>
      </c>
      <c r="Q158" s="18" t="s">
        <v>176</v>
      </c>
      <c r="R158" s="19" t="s">
        <v>177</v>
      </c>
      <c r="S158" s="19" t="s">
        <v>177</v>
      </c>
      <c r="T158" s="18" t="s">
        <v>175</v>
      </c>
      <c r="U158" s="18" t="s">
        <v>181</v>
      </c>
      <c r="V158" s="18" t="s">
        <v>175</v>
      </c>
      <c r="W158" s="18" t="s">
        <v>176</v>
      </c>
      <c r="X158" s="18" t="s">
        <v>175</v>
      </c>
      <c r="Y158" s="18" t="s">
        <v>181</v>
      </c>
      <c r="Z158" s="18" t="s">
        <v>181</v>
      </c>
      <c r="AL158" t="str">
        <f>IFERROR(_xlfn.XLOOKUP(E158, Branches!$B$2:$B$100, Branches!$C$2:$C$100, "خطأ في الكود"), "")</f>
        <v>Musab Hakami</v>
      </c>
    </row>
    <row r="159" spans="1:38">
      <c r="A159" s="14" t="s">
        <v>278</v>
      </c>
      <c r="B159" s="14">
        <v>80102782</v>
      </c>
      <c r="C159" s="14">
        <v>80102782</v>
      </c>
      <c r="D159" s="18" t="s">
        <v>225</v>
      </c>
      <c r="E159" s="18" t="s">
        <v>109</v>
      </c>
      <c r="F159" s="14" t="s">
        <v>181</v>
      </c>
      <c r="G159" s="19" t="s">
        <v>178</v>
      </c>
      <c r="H159" s="14" t="s">
        <v>181</v>
      </c>
      <c r="I159" s="14" t="s">
        <v>181</v>
      </c>
      <c r="J159" s="14" t="s">
        <v>176</v>
      </c>
      <c r="K159" s="14" t="s">
        <v>181</v>
      </c>
      <c r="L159" s="14" t="s">
        <v>181</v>
      </c>
      <c r="M159" s="14" t="s">
        <v>181</v>
      </c>
      <c r="N159" s="19" t="s">
        <v>178</v>
      </c>
      <c r="O159" s="15" t="s">
        <v>180</v>
      </c>
      <c r="P159" s="14" t="s">
        <v>181</v>
      </c>
      <c r="Q159" s="14" t="s">
        <v>176</v>
      </c>
      <c r="R159" s="19" t="s">
        <v>178</v>
      </c>
      <c r="S159" s="14" t="s">
        <v>181</v>
      </c>
      <c r="T159" s="14" t="s">
        <v>181</v>
      </c>
      <c r="U159" s="19" t="s">
        <v>178</v>
      </c>
      <c r="V159" s="19" t="s">
        <v>178</v>
      </c>
      <c r="W159" s="14" t="s">
        <v>181</v>
      </c>
      <c r="X159" s="14" t="s">
        <v>176</v>
      </c>
      <c r="Y159" s="15" t="s">
        <v>180</v>
      </c>
      <c r="Z159" s="15" t="s">
        <v>180</v>
      </c>
      <c r="AL159" t="str">
        <f>IFERROR(_xlfn.XLOOKUP(E159, Branches!$B$2:$B$100, Branches!$C$2:$C$100, "خطأ في الكود"), "")</f>
        <v>Zayed Al Subaie</v>
      </c>
    </row>
    <row r="160" spans="1:38">
      <c r="A160" s="18" t="s">
        <v>279</v>
      </c>
      <c r="B160" s="18">
        <v>80125568</v>
      </c>
      <c r="C160" s="18">
        <v>80125568</v>
      </c>
      <c r="D160" s="18" t="s">
        <v>18</v>
      </c>
      <c r="E160" s="18" t="s">
        <v>19</v>
      </c>
      <c r="F160" s="18" t="s">
        <v>175</v>
      </c>
      <c r="G160" s="18" t="s">
        <v>175</v>
      </c>
      <c r="H160" s="19" t="s">
        <v>177</v>
      </c>
      <c r="I160" s="18" t="s">
        <v>176</v>
      </c>
      <c r="J160" s="18" t="s">
        <v>175</v>
      </c>
      <c r="K160" s="18" t="s">
        <v>175</v>
      </c>
      <c r="L160" s="19" t="s">
        <v>177</v>
      </c>
      <c r="M160" s="18" t="s">
        <v>175</v>
      </c>
      <c r="N160" s="19" t="s">
        <v>177</v>
      </c>
      <c r="O160" s="18" t="s">
        <v>175</v>
      </c>
      <c r="P160" s="18" t="s">
        <v>176</v>
      </c>
      <c r="Q160" s="18" t="s">
        <v>175</v>
      </c>
      <c r="R160" s="18" t="s">
        <v>175</v>
      </c>
      <c r="S160" s="18" t="s">
        <v>175</v>
      </c>
      <c r="T160" s="18" t="s">
        <v>175</v>
      </c>
      <c r="U160" s="18" t="s">
        <v>175</v>
      </c>
      <c r="V160" s="19" t="s">
        <v>177</v>
      </c>
      <c r="W160" s="18" t="s">
        <v>176</v>
      </c>
      <c r="X160" s="18" t="s">
        <v>175</v>
      </c>
      <c r="Y160" s="18" t="s">
        <v>175</v>
      </c>
      <c r="Z160" s="18" t="s">
        <v>175</v>
      </c>
      <c r="AL160" t="str">
        <f>IFERROR(_xlfn.XLOOKUP(E160, Branches!$B$2:$B$100, Branches!$C$2:$C$100, "خطأ في الكود"), "")</f>
        <v>Zayed Al Subaie</v>
      </c>
    </row>
    <row r="161" spans="1:38">
      <c r="A161" s="14" t="s">
        <v>280</v>
      </c>
      <c r="B161" s="14">
        <v>80062544</v>
      </c>
      <c r="C161" s="14">
        <v>80062544</v>
      </c>
      <c r="D161" s="18" t="s">
        <v>18</v>
      </c>
      <c r="E161" s="18" t="s">
        <v>44</v>
      </c>
      <c r="F161" s="14" t="s">
        <v>181</v>
      </c>
      <c r="G161" s="14" t="s">
        <v>181</v>
      </c>
      <c r="H161" s="14" t="s">
        <v>181</v>
      </c>
      <c r="I161" s="14" t="s">
        <v>176</v>
      </c>
      <c r="J161" s="14" t="s">
        <v>181</v>
      </c>
      <c r="K161" s="14" t="s">
        <v>181</v>
      </c>
      <c r="L161" s="14" t="s">
        <v>181</v>
      </c>
      <c r="M161" s="19" t="s">
        <v>178</v>
      </c>
      <c r="N161" s="14" t="s">
        <v>181</v>
      </c>
      <c r="O161" s="14" t="s">
        <v>181</v>
      </c>
      <c r="P161" s="14" t="s">
        <v>176</v>
      </c>
      <c r="Q161" s="14" t="s">
        <v>181</v>
      </c>
      <c r="R161" s="14" t="s">
        <v>181</v>
      </c>
      <c r="S161" s="14" t="s">
        <v>181</v>
      </c>
      <c r="T161" s="14" t="s">
        <v>181</v>
      </c>
      <c r="U161" s="14" t="s">
        <v>181</v>
      </c>
      <c r="V161" s="14" t="s">
        <v>181</v>
      </c>
      <c r="W161" s="14" t="s">
        <v>176</v>
      </c>
      <c r="X161" s="14" t="s">
        <v>181</v>
      </c>
      <c r="Y161" s="14" t="s">
        <v>181</v>
      </c>
      <c r="Z161" s="14" t="s">
        <v>181</v>
      </c>
      <c r="AL161" t="str">
        <f>IFERROR(_xlfn.XLOOKUP(E161, Branches!$B$2:$B$100, Branches!$C$2:$C$100, "خطأ في الكود"), "")</f>
        <v>Zayed Al Subaie</v>
      </c>
    </row>
    <row r="162" spans="1:38">
      <c r="A162" s="18" t="s">
        <v>281</v>
      </c>
      <c r="B162" s="18">
        <v>80128497</v>
      </c>
      <c r="C162" s="18">
        <v>80128497</v>
      </c>
      <c r="D162" s="18" t="s">
        <v>30</v>
      </c>
      <c r="E162" s="18" t="s">
        <v>31</v>
      </c>
      <c r="F162" s="18" t="s">
        <v>181</v>
      </c>
      <c r="G162" s="18" t="s">
        <v>181</v>
      </c>
      <c r="H162" s="18" t="s">
        <v>179</v>
      </c>
      <c r="I162" s="15" t="s">
        <v>180</v>
      </c>
      <c r="J162" s="18" t="s">
        <v>181</v>
      </c>
      <c r="K162" s="18" t="s">
        <v>181</v>
      </c>
      <c r="L162" s="18" t="s">
        <v>181</v>
      </c>
      <c r="M162" s="18" t="s">
        <v>181</v>
      </c>
      <c r="N162" s="18" t="s">
        <v>181</v>
      </c>
      <c r="O162" s="18" t="s">
        <v>179</v>
      </c>
      <c r="P162" s="15" t="s">
        <v>180</v>
      </c>
      <c r="Q162" s="18" t="s">
        <v>181</v>
      </c>
      <c r="R162" s="18" t="s">
        <v>181</v>
      </c>
      <c r="S162" s="18" t="s">
        <v>181</v>
      </c>
      <c r="T162" s="18" t="s">
        <v>181</v>
      </c>
      <c r="U162" s="15" t="s">
        <v>180</v>
      </c>
      <c r="V162" s="18" t="s">
        <v>179</v>
      </c>
      <c r="W162" s="15" t="s">
        <v>180</v>
      </c>
      <c r="X162" s="18" t="s">
        <v>181</v>
      </c>
      <c r="Y162" s="18" t="s">
        <v>181</v>
      </c>
      <c r="Z162" s="18" t="s">
        <v>181</v>
      </c>
      <c r="AL162" t="str">
        <f>IFERROR(_xlfn.XLOOKUP(E162, Branches!$B$2:$B$100, Branches!$C$2:$C$100, "خطأ في الكود"), "")</f>
        <v>Bandar Garziz</v>
      </c>
    </row>
    <row r="163" spans="1:38">
      <c r="A163" s="14" t="s">
        <v>282</v>
      </c>
      <c r="B163" s="14">
        <v>80122546</v>
      </c>
      <c r="C163" s="14">
        <v>80122546</v>
      </c>
      <c r="D163" s="18" t="s">
        <v>46</v>
      </c>
      <c r="E163" s="18" t="s">
        <v>49</v>
      </c>
      <c r="F163" s="14" t="s">
        <v>187</v>
      </c>
      <c r="G163" s="19" t="s">
        <v>177</v>
      </c>
      <c r="H163" s="14" t="s">
        <v>192</v>
      </c>
      <c r="I163" s="14" t="s">
        <v>176</v>
      </c>
      <c r="J163" s="19" t="s">
        <v>177</v>
      </c>
      <c r="K163" s="14" t="s">
        <v>175</v>
      </c>
      <c r="L163" s="14" t="s">
        <v>175</v>
      </c>
      <c r="M163" s="14" t="s">
        <v>175</v>
      </c>
      <c r="N163" s="19" t="s">
        <v>177</v>
      </c>
      <c r="O163" s="14" t="s">
        <v>175</v>
      </c>
      <c r="P163" s="14" t="s">
        <v>176</v>
      </c>
      <c r="Q163" s="14" t="s">
        <v>175</v>
      </c>
      <c r="R163" s="14" t="s">
        <v>175</v>
      </c>
      <c r="S163" s="14" t="s">
        <v>175</v>
      </c>
      <c r="T163" s="14" t="s">
        <v>175</v>
      </c>
      <c r="U163" s="14" t="s">
        <v>181</v>
      </c>
      <c r="V163" s="14" t="s">
        <v>176</v>
      </c>
      <c r="W163" s="14" t="s">
        <v>181</v>
      </c>
      <c r="X163" s="14" t="s">
        <v>181</v>
      </c>
      <c r="Y163" s="14" t="s">
        <v>181</v>
      </c>
      <c r="Z163" s="14" t="s">
        <v>181</v>
      </c>
      <c r="AL163" t="str">
        <f>IFERROR(_xlfn.XLOOKUP(E163, Branches!$B$2:$B$100, Branches!$C$2:$C$100, "خطأ في الكود"), "")</f>
        <v>Musab Hakami</v>
      </c>
    </row>
    <row r="164" spans="1:38">
      <c r="A164" s="18" t="s">
        <v>283</v>
      </c>
      <c r="B164" s="18">
        <v>80081083</v>
      </c>
      <c r="C164" s="18">
        <v>80081083</v>
      </c>
      <c r="D164" s="18" t="s">
        <v>18</v>
      </c>
      <c r="E164" s="18" t="s">
        <v>121</v>
      </c>
      <c r="F164" s="18" t="s">
        <v>181</v>
      </c>
      <c r="G164" s="18" t="s">
        <v>181</v>
      </c>
      <c r="H164" s="18" t="s">
        <v>176</v>
      </c>
      <c r="I164" s="18" t="s">
        <v>184</v>
      </c>
      <c r="J164" s="18" t="s">
        <v>184</v>
      </c>
      <c r="K164" s="18" t="s">
        <v>181</v>
      </c>
      <c r="L164" s="18" t="s">
        <v>181</v>
      </c>
      <c r="M164" s="18" t="s">
        <v>181</v>
      </c>
      <c r="N164" s="18" t="s">
        <v>181</v>
      </c>
      <c r="O164" s="18" t="s">
        <v>176</v>
      </c>
      <c r="P164" s="18" t="s">
        <v>181</v>
      </c>
      <c r="Q164" s="18" t="s">
        <v>181</v>
      </c>
      <c r="R164" s="18" t="s">
        <v>181</v>
      </c>
      <c r="S164" s="18" t="s">
        <v>181</v>
      </c>
      <c r="T164" s="18" t="s">
        <v>181</v>
      </c>
      <c r="U164" s="18" t="s">
        <v>181</v>
      </c>
      <c r="V164" s="18" t="s">
        <v>176</v>
      </c>
      <c r="W164" s="18" t="s">
        <v>181</v>
      </c>
      <c r="X164" s="18" t="s">
        <v>181</v>
      </c>
      <c r="Y164" s="19" t="s">
        <v>178</v>
      </c>
      <c r="Z164" s="18" t="s">
        <v>181</v>
      </c>
      <c r="AL164" t="str">
        <f>IFERROR(_xlfn.XLOOKUP(E164, Branches!$B$2:$B$100, Branches!$C$2:$C$100, "خطأ في الكود"), "")</f>
        <v>Zayed Al Subaie</v>
      </c>
    </row>
    <row r="165" spans="1:38">
      <c r="A165" s="14" t="s">
        <v>284</v>
      </c>
      <c r="B165" s="14">
        <v>80123775</v>
      </c>
      <c r="C165" s="14">
        <v>80123775</v>
      </c>
      <c r="D165" s="18" t="s">
        <v>18</v>
      </c>
      <c r="E165" s="18" t="s">
        <v>109</v>
      </c>
      <c r="F165" s="14" t="s">
        <v>181</v>
      </c>
      <c r="G165" s="14" t="s">
        <v>181</v>
      </c>
      <c r="H165" s="14" t="s">
        <v>176</v>
      </c>
      <c r="I165" s="14" t="s">
        <v>181</v>
      </c>
      <c r="J165" s="19" t="s">
        <v>178</v>
      </c>
      <c r="K165" s="14" t="s">
        <v>181</v>
      </c>
      <c r="L165" s="14" t="s">
        <v>181</v>
      </c>
      <c r="M165" s="19" t="s">
        <v>178</v>
      </c>
      <c r="N165" s="19" t="s">
        <v>178</v>
      </c>
      <c r="O165" s="14" t="s">
        <v>176</v>
      </c>
      <c r="P165" s="14" t="s">
        <v>181</v>
      </c>
      <c r="Q165" s="14" t="s">
        <v>181</v>
      </c>
      <c r="R165" s="19" t="s">
        <v>178</v>
      </c>
      <c r="S165" s="19" t="s">
        <v>178</v>
      </c>
      <c r="T165" s="19" t="s">
        <v>178</v>
      </c>
      <c r="U165" s="19" t="s">
        <v>178</v>
      </c>
      <c r="V165" s="14" t="s">
        <v>176</v>
      </c>
      <c r="W165" s="19" t="s">
        <v>178</v>
      </c>
      <c r="X165" s="14" t="s">
        <v>181</v>
      </c>
      <c r="Y165" s="19" t="s">
        <v>178</v>
      </c>
      <c r="Z165" s="14" t="s">
        <v>181</v>
      </c>
      <c r="AL165" t="str">
        <f>IFERROR(_xlfn.XLOOKUP(E165, Branches!$B$2:$B$100, Branches!$C$2:$C$100, "خطأ في الكود"), "")</f>
        <v>Zayed Al Subaie</v>
      </c>
    </row>
    <row r="166" spans="1:38">
      <c r="A166" s="18" t="s">
        <v>285</v>
      </c>
      <c r="B166" s="18">
        <v>80116509</v>
      </c>
      <c r="C166" s="18">
        <v>80116509</v>
      </c>
      <c r="D166" s="18" t="s">
        <v>30</v>
      </c>
      <c r="E166" s="18" t="s">
        <v>105</v>
      </c>
      <c r="F166" s="18" t="s">
        <v>175</v>
      </c>
      <c r="G166" s="18" t="s">
        <v>175</v>
      </c>
      <c r="H166" s="18" t="s">
        <v>175</v>
      </c>
      <c r="I166" s="18" t="s">
        <v>176</v>
      </c>
      <c r="J166" s="18" t="s">
        <v>175</v>
      </c>
      <c r="K166" s="18" t="s">
        <v>175</v>
      </c>
      <c r="L166" s="18" t="s">
        <v>175</v>
      </c>
      <c r="M166" s="18" t="s">
        <v>175</v>
      </c>
      <c r="N166" s="19" t="s">
        <v>177</v>
      </c>
      <c r="O166" s="18" t="s">
        <v>175</v>
      </c>
      <c r="P166" s="18" t="s">
        <v>176</v>
      </c>
      <c r="Q166" s="18" t="s">
        <v>175</v>
      </c>
      <c r="R166" s="18" t="s">
        <v>175</v>
      </c>
      <c r="S166" s="18" t="s">
        <v>175</v>
      </c>
      <c r="T166" s="19" t="s">
        <v>177</v>
      </c>
      <c r="U166" s="18" t="s">
        <v>175</v>
      </c>
      <c r="V166" s="18" t="s">
        <v>175</v>
      </c>
      <c r="W166" s="18" t="s">
        <v>176</v>
      </c>
      <c r="X166" s="18" t="s">
        <v>175</v>
      </c>
      <c r="Y166" s="18" t="s">
        <v>175</v>
      </c>
      <c r="Z166" s="18" t="s">
        <v>175</v>
      </c>
      <c r="AL166" t="str">
        <f>IFERROR(_xlfn.XLOOKUP(E166, Branches!$B$2:$B$100, Branches!$C$2:$C$100, "خطأ في الكود"), "")</f>
        <v>Bandar Garziz</v>
      </c>
    </row>
    <row r="167" spans="1:38">
      <c r="A167" s="14" t="s">
        <v>286</v>
      </c>
      <c r="B167" s="14">
        <v>80092502</v>
      </c>
      <c r="C167" s="14">
        <v>80092502</v>
      </c>
      <c r="D167" s="18" t="s">
        <v>18</v>
      </c>
      <c r="E167" s="18" t="s">
        <v>99</v>
      </c>
      <c r="F167" s="14" t="s">
        <v>175</v>
      </c>
      <c r="G167" s="14" t="s">
        <v>175</v>
      </c>
      <c r="H167" s="14" t="s">
        <v>175</v>
      </c>
      <c r="I167" s="14" t="s">
        <v>176</v>
      </c>
      <c r="J167" s="14" t="s">
        <v>182</v>
      </c>
      <c r="K167" s="14" t="s">
        <v>181</v>
      </c>
      <c r="L167" s="14" t="s">
        <v>181</v>
      </c>
      <c r="M167" s="14" t="s">
        <v>181</v>
      </c>
      <c r="N167" s="14" t="s">
        <v>181</v>
      </c>
      <c r="O167" s="14" t="s">
        <v>181</v>
      </c>
      <c r="P167" s="14" t="s">
        <v>181</v>
      </c>
      <c r="Q167" s="14" t="s">
        <v>176</v>
      </c>
      <c r="R167" s="14" t="s">
        <v>175</v>
      </c>
      <c r="S167" s="14" t="s">
        <v>175</v>
      </c>
      <c r="T167" s="14" t="s">
        <v>205</v>
      </c>
      <c r="U167" s="14" t="s">
        <v>205</v>
      </c>
      <c r="V167" s="14" t="s">
        <v>205</v>
      </c>
      <c r="W167" s="14" t="s">
        <v>176</v>
      </c>
      <c r="X167" s="14" t="s">
        <v>181</v>
      </c>
      <c r="Y167" s="14" t="s">
        <v>181</v>
      </c>
      <c r="Z167" s="14" t="s">
        <v>181</v>
      </c>
      <c r="AL167" t="str">
        <f>IFERROR(_xlfn.XLOOKUP(E167, Branches!$B$2:$B$100, Branches!$C$2:$C$100, "خطأ في الكود"), "")</f>
        <v>Othman Al Sagri</v>
      </c>
    </row>
    <row r="168" spans="1:38">
      <c r="A168" s="18" t="s">
        <v>287</v>
      </c>
      <c r="B168" s="18">
        <v>80045913</v>
      </c>
      <c r="C168" s="18">
        <v>80045913</v>
      </c>
      <c r="D168" s="18" t="s">
        <v>18</v>
      </c>
      <c r="E168" s="18" t="s">
        <v>99</v>
      </c>
      <c r="F168" s="18" t="s">
        <v>175</v>
      </c>
      <c r="G168" s="18" t="s">
        <v>175</v>
      </c>
      <c r="H168" s="18" t="s">
        <v>192</v>
      </c>
      <c r="I168" s="18" t="s">
        <v>181</v>
      </c>
      <c r="J168" s="18" t="s">
        <v>181</v>
      </c>
      <c r="K168" s="18" t="s">
        <v>176</v>
      </c>
      <c r="L168" s="18" t="s">
        <v>181</v>
      </c>
      <c r="M168" s="18" t="s">
        <v>181</v>
      </c>
      <c r="N168" s="18" t="s">
        <v>181</v>
      </c>
      <c r="O168" s="18" t="s">
        <v>181</v>
      </c>
      <c r="P168" s="18" t="s">
        <v>176</v>
      </c>
      <c r="Q168" s="18" t="s">
        <v>175</v>
      </c>
      <c r="R168" s="18" t="s">
        <v>175</v>
      </c>
      <c r="S168" s="18" t="s">
        <v>175</v>
      </c>
      <c r="T168" s="18" t="s">
        <v>175</v>
      </c>
      <c r="U168" s="18" t="s">
        <v>175</v>
      </c>
      <c r="V168" s="18" t="s">
        <v>175</v>
      </c>
      <c r="W168" s="18" t="s">
        <v>181</v>
      </c>
      <c r="X168" s="18" t="s">
        <v>176</v>
      </c>
      <c r="Y168" s="18" t="s">
        <v>181</v>
      </c>
      <c r="Z168" s="18" t="s">
        <v>181</v>
      </c>
      <c r="AL168" t="str">
        <f>IFERROR(_xlfn.XLOOKUP(E168, Branches!$B$2:$B$100, Branches!$C$2:$C$100, "خطأ في الكود"), "")</f>
        <v>Othman Al Sagri</v>
      </c>
    </row>
    <row r="169" spans="1:38">
      <c r="A169" s="14" t="s">
        <v>288</v>
      </c>
      <c r="B169" s="14">
        <v>80121643</v>
      </c>
      <c r="C169" s="14">
        <v>80121643</v>
      </c>
      <c r="D169" s="18" t="s">
        <v>18</v>
      </c>
      <c r="E169" s="18" t="s">
        <v>89</v>
      </c>
      <c r="F169" s="19" t="s">
        <v>177</v>
      </c>
      <c r="G169" s="14" t="s">
        <v>205</v>
      </c>
      <c r="H169" s="14" t="s">
        <v>175</v>
      </c>
      <c r="I169" s="14" t="s">
        <v>176</v>
      </c>
      <c r="J169" s="14" t="s">
        <v>175</v>
      </c>
      <c r="K169" s="14" t="s">
        <v>205</v>
      </c>
      <c r="L169" s="14" t="s">
        <v>175</v>
      </c>
      <c r="M169" s="14" t="s">
        <v>175</v>
      </c>
      <c r="N169" s="14" t="s">
        <v>184</v>
      </c>
      <c r="O169" s="15" t="s">
        <v>189</v>
      </c>
      <c r="P169" s="14" t="s">
        <v>176</v>
      </c>
      <c r="Q169" s="19" t="s">
        <v>177</v>
      </c>
      <c r="R169" s="14" t="s">
        <v>175</v>
      </c>
      <c r="S169" s="14" t="s">
        <v>175</v>
      </c>
      <c r="T169" s="14" t="s">
        <v>184</v>
      </c>
      <c r="U169" s="14" t="s">
        <v>175</v>
      </c>
      <c r="V169" s="14" t="s">
        <v>175</v>
      </c>
      <c r="W169" s="14" t="s">
        <v>176</v>
      </c>
      <c r="X169" s="14" t="s">
        <v>184</v>
      </c>
      <c r="Y169" s="14" t="s">
        <v>175</v>
      </c>
      <c r="Z169" s="14" t="s">
        <v>175</v>
      </c>
      <c r="AL169" t="str">
        <f>IFERROR(_xlfn.XLOOKUP(E169, Branches!$B$2:$B$100, Branches!$C$2:$C$100, "خطأ في الكود"), "")</f>
        <v>Zayed Al Subaie</v>
      </c>
    </row>
    <row r="170" spans="1:38">
      <c r="A170" s="18" t="s">
        <v>289</v>
      </c>
      <c r="B170" s="18">
        <v>80121825</v>
      </c>
      <c r="C170" s="18">
        <v>80121825</v>
      </c>
      <c r="D170" s="18" t="s">
        <v>30</v>
      </c>
      <c r="E170" s="18" t="s">
        <v>85</v>
      </c>
      <c r="F170" s="18" t="s">
        <v>181</v>
      </c>
      <c r="G170" s="18" t="s">
        <v>181</v>
      </c>
      <c r="H170" s="18" t="s">
        <v>181</v>
      </c>
      <c r="I170" s="18" t="s">
        <v>181</v>
      </c>
      <c r="J170" s="18" t="s">
        <v>176</v>
      </c>
      <c r="K170" s="18" t="s">
        <v>175</v>
      </c>
      <c r="L170" s="18" t="s">
        <v>175</v>
      </c>
      <c r="M170" s="18" t="s">
        <v>175</v>
      </c>
      <c r="N170" s="19" t="s">
        <v>177</v>
      </c>
      <c r="O170" s="18" t="s">
        <v>175</v>
      </c>
      <c r="P170" s="18" t="s">
        <v>176</v>
      </c>
      <c r="Q170" s="18" t="s">
        <v>181</v>
      </c>
      <c r="R170" s="18" t="s">
        <v>181</v>
      </c>
      <c r="S170" s="18" t="s">
        <v>181</v>
      </c>
      <c r="T170" s="18" t="s">
        <v>181</v>
      </c>
      <c r="U170" s="18" t="s">
        <v>181</v>
      </c>
      <c r="V170" s="18" t="s">
        <v>181</v>
      </c>
      <c r="W170" s="18" t="s">
        <v>181</v>
      </c>
      <c r="X170" s="18" t="s">
        <v>176</v>
      </c>
      <c r="Y170" s="18" t="s">
        <v>175</v>
      </c>
      <c r="Z170" s="18" t="s">
        <v>175</v>
      </c>
      <c r="AL170" t="str">
        <f>IFERROR(_xlfn.XLOOKUP(E170, Branches!$B$2:$B$100, Branches!$C$2:$C$100, "خطأ في الكود"), "")</f>
        <v>Bandar Garziz</v>
      </c>
    </row>
    <row r="171" spans="1:38">
      <c r="A171" s="14" t="s">
        <v>160</v>
      </c>
      <c r="B171" s="14">
        <v>80127488</v>
      </c>
      <c r="C171" s="14">
        <v>80127488</v>
      </c>
      <c r="D171" s="18" t="s">
        <v>46</v>
      </c>
      <c r="E171" s="18" t="s">
        <v>161</v>
      </c>
      <c r="F171" s="14" t="s">
        <v>175</v>
      </c>
      <c r="G171" s="14" t="s">
        <v>175</v>
      </c>
      <c r="H171" s="14" t="s">
        <v>175</v>
      </c>
      <c r="I171" s="14" t="s">
        <v>176</v>
      </c>
      <c r="J171" s="14" t="s">
        <v>175</v>
      </c>
      <c r="K171" s="19" t="s">
        <v>177</v>
      </c>
      <c r="L171" s="14" t="s">
        <v>175</v>
      </c>
      <c r="M171" s="14" t="s">
        <v>175</v>
      </c>
      <c r="N171" s="14" t="s">
        <v>175</v>
      </c>
      <c r="O171" s="15" t="s">
        <v>180</v>
      </c>
      <c r="P171" s="14" t="s">
        <v>176</v>
      </c>
      <c r="Q171" s="14" t="s">
        <v>181</v>
      </c>
      <c r="R171" s="14" t="s">
        <v>181</v>
      </c>
      <c r="S171" s="14" t="s">
        <v>181</v>
      </c>
      <c r="T171" s="14" t="s">
        <v>181</v>
      </c>
      <c r="U171" s="19" t="s">
        <v>178</v>
      </c>
      <c r="V171" s="14" t="s">
        <v>181</v>
      </c>
      <c r="W171" s="14" t="s">
        <v>181</v>
      </c>
      <c r="X171" s="14" t="s">
        <v>176</v>
      </c>
      <c r="Y171" s="14" t="s">
        <v>181</v>
      </c>
      <c r="Z171" s="14" t="s">
        <v>181</v>
      </c>
      <c r="AL171" t="str">
        <f>IFERROR(_xlfn.XLOOKUP(E171, Branches!$B$2:$B$100, Branches!$C$2:$C$100, "خطأ في الكود"), "")</f>
        <v>Musab Hakami</v>
      </c>
    </row>
    <row r="172" spans="1:38">
      <c r="A172" s="18" t="s">
        <v>290</v>
      </c>
      <c r="B172" s="18">
        <v>80115263</v>
      </c>
      <c r="C172" s="18">
        <v>80115263</v>
      </c>
      <c r="D172" s="18" t="s">
        <v>18</v>
      </c>
      <c r="E172" s="18" t="s">
        <v>89</v>
      </c>
      <c r="F172" s="18" t="s">
        <v>181</v>
      </c>
      <c r="G172" s="19" t="s">
        <v>178</v>
      </c>
      <c r="H172" s="18" t="s">
        <v>176</v>
      </c>
      <c r="I172" s="18" t="s">
        <v>181</v>
      </c>
      <c r="J172" s="18" t="s">
        <v>181</v>
      </c>
      <c r="K172" s="18" t="s">
        <v>181</v>
      </c>
      <c r="L172" s="18" t="s">
        <v>181</v>
      </c>
      <c r="M172" s="18" t="s">
        <v>184</v>
      </c>
      <c r="N172" s="19" t="s">
        <v>178</v>
      </c>
      <c r="O172" s="18" t="s">
        <v>176</v>
      </c>
      <c r="P172" s="18" t="s">
        <v>184</v>
      </c>
      <c r="Q172" s="18" t="s">
        <v>184</v>
      </c>
      <c r="R172" s="18" t="s">
        <v>184</v>
      </c>
      <c r="S172" s="18" t="s">
        <v>184</v>
      </c>
      <c r="T172" s="18" t="s">
        <v>184</v>
      </c>
      <c r="U172" s="18" t="s">
        <v>181</v>
      </c>
      <c r="V172" s="18" t="s">
        <v>176</v>
      </c>
      <c r="W172" s="19" t="s">
        <v>178</v>
      </c>
      <c r="X172" s="18" t="s">
        <v>181</v>
      </c>
      <c r="Y172" s="19" t="s">
        <v>178</v>
      </c>
      <c r="Z172" s="19" t="s">
        <v>178</v>
      </c>
      <c r="AL172" t="str">
        <f>IFERROR(_xlfn.XLOOKUP(E172, Branches!$B$2:$B$100, Branches!$C$2:$C$100, "خطأ في الكود"), "")</f>
        <v>Zayed Al Subaie</v>
      </c>
    </row>
    <row r="173" spans="1:38">
      <c r="A173" s="14" t="s">
        <v>291</v>
      </c>
      <c r="B173" s="14">
        <v>80112470</v>
      </c>
      <c r="C173" s="14">
        <v>80112470</v>
      </c>
      <c r="D173" s="18" t="s">
        <v>30</v>
      </c>
      <c r="E173" s="18" t="s">
        <v>103</v>
      </c>
      <c r="F173" s="19" t="s">
        <v>178</v>
      </c>
      <c r="G173" s="19" t="s">
        <v>178</v>
      </c>
      <c r="H173" s="19" t="s">
        <v>178</v>
      </c>
      <c r="I173" s="19" t="s">
        <v>178</v>
      </c>
      <c r="J173" s="19" t="s">
        <v>178</v>
      </c>
      <c r="K173" s="19" t="s">
        <v>178</v>
      </c>
      <c r="L173" s="19" t="s">
        <v>178</v>
      </c>
      <c r="M173" s="14" t="s">
        <v>181</v>
      </c>
      <c r="N173" s="19" t="s">
        <v>178</v>
      </c>
      <c r="O173" s="14" t="s">
        <v>181</v>
      </c>
      <c r="P173" s="14" t="s">
        <v>176</v>
      </c>
      <c r="Q173" s="19" t="s">
        <v>178</v>
      </c>
      <c r="R173" s="14" t="s">
        <v>176</v>
      </c>
      <c r="S173" s="14" t="s">
        <v>176</v>
      </c>
      <c r="T173" s="14" t="s">
        <v>176</v>
      </c>
      <c r="U173" s="19" t="s">
        <v>178</v>
      </c>
      <c r="V173" s="14" t="s">
        <v>176</v>
      </c>
      <c r="W173" s="19" t="s">
        <v>178</v>
      </c>
      <c r="X173" s="19" t="s">
        <v>178</v>
      </c>
      <c r="Y173" s="15" t="s">
        <v>180</v>
      </c>
      <c r="Z173" s="15" t="s">
        <v>189</v>
      </c>
      <c r="AL173" t="str">
        <f>IFERROR(_xlfn.XLOOKUP(E173, Branches!$B$2:$B$100, Branches!$C$2:$C$100, "خطأ في الكود"), "")</f>
        <v>Bandar Garziz</v>
      </c>
    </row>
    <row r="174" spans="1:38">
      <c r="A174" s="18" t="s">
        <v>292</v>
      </c>
      <c r="B174" s="18">
        <v>80126805</v>
      </c>
      <c r="C174" s="18">
        <v>80126805</v>
      </c>
      <c r="D174" s="18" t="s">
        <v>27</v>
      </c>
      <c r="E174" s="18" t="s">
        <v>67</v>
      </c>
      <c r="F174" s="18" t="s">
        <v>181</v>
      </c>
      <c r="G174" s="18" t="s">
        <v>181</v>
      </c>
      <c r="H174" s="18" t="s">
        <v>181</v>
      </c>
      <c r="I174" s="18" t="s">
        <v>181</v>
      </c>
      <c r="J174" s="18" t="s">
        <v>176</v>
      </c>
      <c r="K174" s="18" t="s">
        <v>175</v>
      </c>
      <c r="L174" s="18" t="s">
        <v>175</v>
      </c>
      <c r="M174" s="18" t="s">
        <v>175</v>
      </c>
      <c r="N174" s="19" t="s">
        <v>177</v>
      </c>
      <c r="O174" s="18" t="s">
        <v>175</v>
      </c>
      <c r="P174" s="18" t="s">
        <v>176</v>
      </c>
      <c r="Q174" s="18" t="s">
        <v>181</v>
      </c>
      <c r="R174" s="18" t="s">
        <v>181</v>
      </c>
      <c r="S174" s="18" t="s">
        <v>181</v>
      </c>
      <c r="T174" s="18" t="s">
        <v>181</v>
      </c>
      <c r="U174" s="18" t="s">
        <v>181</v>
      </c>
      <c r="V174" s="18" t="s">
        <v>176</v>
      </c>
      <c r="W174" s="18" t="s">
        <v>181</v>
      </c>
      <c r="X174" s="18" t="s">
        <v>175</v>
      </c>
      <c r="Y174" s="18" t="s">
        <v>175</v>
      </c>
      <c r="Z174" s="18" t="s">
        <v>175</v>
      </c>
      <c r="AL174" t="str">
        <f>IFERROR(_xlfn.XLOOKUP(E174, Branches!$B$2:$B$100, Branches!$C$2:$C$100, "خطأ في الكود"), "")</f>
        <v>Mohammed Gobran Abdali</v>
      </c>
    </row>
    <row r="175" spans="1:38">
      <c r="A175" s="14" t="s">
        <v>293</v>
      </c>
      <c r="B175" s="14">
        <v>80107756</v>
      </c>
      <c r="C175" s="14">
        <v>80107756</v>
      </c>
      <c r="D175" s="18" t="s">
        <v>41</v>
      </c>
      <c r="E175" s="18" t="s">
        <v>53</v>
      </c>
      <c r="F175" s="19" t="s">
        <v>178</v>
      </c>
      <c r="G175" s="19" t="s">
        <v>178</v>
      </c>
      <c r="H175" s="19" t="s">
        <v>178</v>
      </c>
      <c r="I175" s="14" t="s">
        <v>176</v>
      </c>
      <c r="J175" s="19" t="s">
        <v>178</v>
      </c>
      <c r="K175" s="19" t="s">
        <v>178</v>
      </c>
      <c r="L175" s="19" t="s">
        <v>178</v>
      </c>
      <c r="M175" s="14" t="s">
        <v>181</v>
      </c>
      <c r="N175" s="19" t="s">
        <v>178</v>
      </c>
      <c r="O175" s="15" t="s">
        <v>180</v>
      </c>
      <c r="P175" s="14" t="s">
        <v>176</v>
      </c>
      <c r="Q175" s="19" t="s">
        <v>178</v>
      </c>
      <c r="R175" s="19" t="s">
        <v>178</v>
      </c>
      <c r="S175" s="19" t="s">
        <v>178</v>
      </c>
      <c r="T175" s="19" t="s">
        <v>178</v>
      </c>
      <c r="U175" s="19" t="s">
        <v>178</v>
      </c>
      <c r="V175" s="15" t="s">
        <v>189</v>
      </c>
      <c r="W175" s="14" t="s">
        <v>176</v>
      </c>
      <c r="X175" s="19" t="s">
        <v>178</v>
      </c>
      <c r="Y175" s="19" t="s">
        <v>178</v>
      </c>
      <c r="Z175" s="19" t="s">
        <v>178</v>
      </c>
      <c r="AL175" t="str">
        <f>IFERROR(_xlfn.XLOOKUP(E175, Branches!$B$2:$B$100, Branches!$C$2:$C$100, "خطأ في الكود"), "")</f>
        <v>Mohammed Al - Gahtani</v>
      </c>
    </row>
    <row r="176" spans="1:38">
      <c r="A176" s="18" t="s">
        <v>162</v>
      </c>
      <c r="B176" s="18">
        <v>80097542</v>
      </c>
      <c r="C176" s="18">
        <v>80097542</v>
      </c>
      <c r="D176" s="18" t="s">
        <v>30</v>
      </c>
      <c r="E176" s="18" t="s">
        <v>163</v>
      </c>
      <c r="F176" s="18" t="s">
        <v>192</v>
      </c>
      <c r="G176" s="18" t="s">
        <v>175</v>
      </c>
      <c r="H176" s="18" t="s">
        <v>175</v>
      </c>
      <c r="I176" s="19" t="s">
        <v>178</v>
      </c>
      <c r="J176" s="18" t="s">
        <v>176</v>
      </c>
      <c r="K176" s="19" t="s">
        <v>178</v>
      </c>
      <c r="L176" s="18" t="s">
        <v>181</v>
      </c>
      <c r="M176" s="18" t="s">
        <v>181</v>
      </c>
      <c r="N176" s="19" t="s">
        <v>178</v>
      </c>
      <c r="O176" s="18" t="s">
        <v>181</v>
      </c>
      <c r="P176" s="19" t="s">
        <v>178</v>
      </c>
      <c r="Q176" s="19" t="s">
        <v>177</v>
      </c>
      <c r="R176" s="19" t="s">
        <v>177</v>
      </c>
      <c r="S176" s="19" t="s">
        <v>177</v>
      </c>
      <c r="T176" s="19" t="s">
        <v>177</v>
      </c>
      <c r="U176" s="19" t="s">
        <v>177</v>
      </c>
      <c r="V176" s="19" t="s">
        <v>177</v>
      </c>
      <c r="W176" s="18" t="s">
        <v>179</v>
      </c>
      <c r="X176" s="18" t="s">
        <v>181</v>
      </c>
      <c r="Y176" s="18" t="s">
        <v>181</v>
      </c>
      <c r="Z176" s="18" t="s">
        <v>181</v>
      </c>
      <c r="AL176" t="str">
        <f>IFERROR(_xlfn.XLOOKUP(E176, Branches!$B$2:$B$100, Branches!$C$2:$C$100, "خطأ في الكود"), "")</f>
        <v>Bandar Garziz</v>
      </c>
    </row>
    <row r="177" spans="1:38">
      <c r="A177" s="14" t="s">
        <v>294</v>
      </c>
      <c r="B177" s="14">
        <v>80097459</v>
      </c>
      <c r="C177" s="14">
        <v>80097459</v>
      </c>
      <c r="D177" s="18" t="s">
        <v>41</v>
      </c>
      <c r="E177" s="18" t="s">
        <v>141</v>
      </c>
      <c r="F177" s="19" t="s">
        <v>177</v>
      </c>
      <c r="G177" s="19" t="s">
        <v>177</v>
      </c>
      <c r="H177" s="19" t="s">
        <v>177</v>
      </c>
      <c r="I177" s="19" t="s">
        <v>177</v>
      </c>
      <c r="J177" s="19" t="s">
        <v>177</v>
      </c>
      <c r="K177" s="15" t="s">
        <v>189</v>
      </c>
      <c r="L177" s="14" t="s">
        <v>179</v>
      </c>
      <c r="M177" s="19" t="s">
        <v>177</v>
      </c>
      <c r="N177" s="19" t="s">
        <v>177</v>
      </c>
      <c r="O177" s="15" t="s">
        <v>189</v>
      </c>
      <c r="P177" s="15" t="s">
        <v>180</v>
      </c>
      <c r="Q177" s="19" t="s">
        <v>177</v>
      </c>
      <c r="R177" s="19" t="s">
        <v>177</v>
      </c>
      <c r="S177" s="14" t="s">
        <v>176</v>
      </c>
      <c r="T177" s="19" t="s">
        <v>177</v>
      </c>
      <c r="U177" s="19" t="s">
        <v>177</v>
      </c>
      <c r="V177" s="19" t="s">
        <v>177</v>
      </c>
      <c r="W177" s="19" t="s">
        <v>178</v>
      </c>
      <c r="X177" s="19" t="s">
        <v>177</v>
      </c>
      <c r="Y177" s="19" t="s">
        <v>177</v>
      </c>
      <c r="Z177" s="14" t="s">
        <v>176</v>
      </c>
      <c r="AL177" t="str">
        <f>IFERROR(_xlfn.XLOOKUP(E177, Branches!$B$2:$B$100, Branches!$C$2:$C$100, "خطأ في الكود"), "")</f>
        <v>Mohammed Al - Gahtani</v>
      </c>
    </row>
    <row r="178" spans="1:38">
      <c r="A178" s="18" t="s">
        <v>295</v>
      </c>
      <c r="B178" s="18">
        <v>80128523</v>
      </c>
      <c r="C178" s="18">
        <v>80128523</v>
      </c>
      <c r="D178" s="18" t="s">
        <v>27</v>
      </c>
      <c r="E178" s="18" t="s">
        <v>28</v>
      </c>
      <c r="F178" s="18" t="s">
        <v>175</v>
      </c>
      <c r="G178" s="18" t="s">
        <v>175</v>
      </c>
      <c r="H178" s="18" t="s">
        <v>181</v>
      </c>
      <c r="I178" s="18" t="s">
        <v>181</v>
      </c>
      <c r="J178" s="18" t="s">
        <v>176</v>
      </c>
      <c r="K178" s="18" t="s">
        <v>175</v>
      </c>
      <c r="L178" s="18" t="s">
        <v>175</v>
      </c>
      <c r="M178" s="18" t="s">
        <v>175</v>
      </c>
      <c r="N178" s="19" t="s">
        <v>177</v>
      </c>
      <c r="O178" s="18" t="s">
        <v>181</v>
      </c>
      <c r="P178" s="18" t="s">
        <v>181</v>
      </c>
      <c r="Q178" s="18" t="s">
        <v>176</v>
      </c>
      <c r="R178" s="18" t="s">
        <v>175</v>
      </c>
      <c r="S178" s="18" t="s">
        <v>175</v>
      </c>
      <c r="T178" s="18" t="s">
        <v>175</v>
      </c>
      <c r="U178" s="18" t="s">
        <v>175</v>
      </c>
      <c r="V178" s="18" t="s">
        <v>181</v>
      </c>
      <c r="W178" s="18" t="s">
        <v>181</v>
      </c>
      <c r="X178" s="18" t="s">
        <v>176</v>
      </c>
      <c r="Y178" s="18" t="s">
        <v>175</v>
      </c>
      <c r="Z178" s="18" t="s">
        <v>175</v>
      </c>
      <c r="AL178" t="str">
        <f>IFERROR(_xlfn.XLOOKUP(E178, Branches!$B$2:$B$100, Branches!$C$2:$C$100, "خطأ في الكود"), "")</f>
        <v>Mohammed Gobran Abdali</v>
      </c>
    </row>
    <row r="179" spans="1:38">
      <c r="A179" s="14" t="s">
        <v>296</v>
      </c>
      <c r="B179" s="14">
        <v>80052647</v>
      </c>
      <c r="C179" s="14">
        <v>80052647</v>
      </c>
      <c r="D179" s="18" t="s">
        <v>18</v>
      </c>
      <c r="E179" s="18" t="s">
        <v>99</v>
      </c>
      <c r="F179" s="14" t="s">
        <v>181</v>
      </c>
      <c r="G179" s="14" t="s">
        <v>181</v>
      </c>
      <c r="H179" s="14" t="s">
        <v>181</v>
      </c>
      <c r="I179" s="14" t="s">
        <v>176</v>
      </c>
      <c r="J179" s="14" t="s">
        <v>175</v>
      </c>
      <c r="K179" s="14" t="s">
        <v>175</v>
      </c>
      <c r="L179" s="14" t="s">
        <v>192</v>
      </c>
      <c r="M179" s="14" t="s">
        <v>175</v>
      </c>
      <c r="N179" s="14" t="s">
        <v>175</v>
      </c>
      <c r="O179" s="14" t="s">
        <v>175</v>
      </c>
      <c r="P179" s="14" t="s">
        <v>181</v>
      </c>
      <c r="Q179" s="14" t="s">
        <v>176</v>
      </c>
      <c r="R179" s="14" t="s">
        <v>181</v>
      </c>
      <c r="S179" s="14" t="s">
        <v>181</v>
      </c>
      <c r="T179" s="14" t="s">
        <v>181</v>
      </c>
      <c r="U179" s="14" t="s">
        <v>181</v>
      </c>
      <c r="V179" s="14" t="s">
        <v>181</v>
      </c>
      <c r="W179" s="14" t="s">
        <v>176</v>
      </c>
      <c r="X179" s="14" t="s">
        <v>175</v>
      </c>
      <c r="Y179" s="14" t="s">
        <v>175</v>
      </c>
      <c r="Z179" s="14" t="s">
        <v>175</v>
      </c>
      <c r="AL179" t="str">
        <f>IFERROR(_xlfn.XLOOKUP(E179, Branches!$B$2:$B$100, Branches!$C$2:$C$100, "خطأ في الكود"), "")</f>
        <v>Othman Al Sagri</v>
      </c>
    </row>
    <row r="180" spans="1:38">
      <c r="A180" s="18" t="s">
        <v>297</v>
      </c>
      <c r="B180" s="18">
        <v>80119103</v>
      </c>
      <c r="C180" s="18">
        <v>80119103</v>
      </c>
      <c r="D180" s="18" t="s">
        <v>18</v>
      </c>
      <c r="E180" s="18" t="s">
        <v>109</v>
      </c>
      <c r="F180" s="18" t="s">
        <v>181</v>
      </c>
      <c r="G180" s="18" t="s">
        <v>176</v>
      </c>
      <c r="H180" s="18" t="s">
        <v>181</v>
      </c>
      <c r="I180" s="18" t="s">
        <v>181</v>
      </c>
      <c r="J180" s="18" t="s">
        <v>181</v>
      </c>
      <c r="K180" s="18" t="s">
        <v>181</v>
      </c>
      <c r="L180" s="18" t="s">
        <v>181</v>
      </c>
      <c r="M180" s="18" t="s">
        <v>181</v>
      </c>
      <c r="N180" s="18" t="s">
        <v>176</v>
      </c>
      <c r="O180" s="15" t="s">
        <v>180</v>
      </c>
      <c r="P180" s="18" t="s">
        <v>181</v>
      </c>
      <c r="Q180" s="18" t="s">
        <v>181</v>
      </c>
      <c r="R180" s="18" t="s">
        <v>184</v>
      </c>
      <c r="S180" s="18" t="s">
        <v>181</v>
      </c>
      <c r="T180" s="18" t="s">
        <v>181</v>
      </c>
      <c r="U180" s="18" t="s">
        <v>176</v>
      </c>
      <c r="V180" s="19" t="s">
        <v>178</v>
      </c>
      <c r="W180" s="19" t="s">
        <v>178</v>
      </c>
      <c r="X180" s="18" t="s">
        <v>181</v>
      </c>
      <c r="Y180" s="18" t="s">
        <v>181</v>
      </c>
      <c r="Z180" s="18" t="s">
        <v>181</v>
      </c>
      <c r="AL180" t="str">
        <f>IFERROR(_xlfn.XLOOKUP(E180, Branches!$B$2:$B$100, Branches!$C$2:$C$100, "خطأ في الكود"), "")</f>
        <v>Zayed Al Subaie</v>
      </c>
    </row>
    <row r="181" spans="1:38">
      <c r="A181" s="14" t="s">
        <v>298</v>
      </c>
      <c r="B181" s="14">
        <v>80079044</v>
      </c>
      <c r="C181" s="14">
        <v>80079044</v>
      </c>
      <c r="D181" s="18" t="s">
        <v>41</v>
      </c>
      <c r="E181" s="18" t="s">
        <v>131</v>
      </c>
      <c r="F181" s="19" t="s">
        <v>177</v>
      </c>
      <c r="G181" s="14" t="s">
        <v>205</v>
      </c>
      <c r="H181" s="19" t="s">
        <v>177</v>
      </c>
      <c r="I181" s="14" t="s">
        <v>181</v>
      </c>
      <c r="J181" s="14" t="s">
        <v>176</v>
      </c>
      <c r="K181" s="14" t="s">
        <v>181</v>
      </c>
      <c r="L181" s="14" t="s">
        <v>181</v>
      </c>
      <c r="M181" s="14" t="s">
        <v>181</v>
      </c>
      <c r="N181" s="14" t="s">
        <v>181</v>
      </c>
      <c r="O181" s="14" t="s">
        <v>176</v>
      </c>
      <c r="P181" s="14" t="s">
        <v>181</v>
      </c>
      <c r="Q181" s="14" t="s">
        <v>176</v>
      </c>
      <c r="R181" s="19" t="s">
        <v>178</v>
      </c>
      <c r="S181" s="19" t="s">
        <v>178</v>
      </c>
      <c r="T181" s="19" t="s">
        <v>178</v>
      </c>
      <c r="U181" s="19" t="s">
        <v>178</v>
      </c>
      <c r="V181" s="19" t="s">
        <v>178</v>
      </c>
      <c r="W181" s="19" t="s">
        <v>178</v>
      </c>
      <c r="X181" s="14" t="s">
        <v>176</v>
      </c>
      <c r="Y181" s="14" t="s">
        <v>192</v>
      </c>
      <c r="Z181" s="14" t="s">
        <v>181</v>
      </c>
      <c r="AL181" t="str">
        <f>IFERROR(_xlfn.XLOOKUP(E181, Branches!$B$2:$B$100, Branches!$C$2:$C$100, "خطأ في الكود"), "")</f>
        <v>Mohammed Al - Gahtani</v>
      </c>
    </row>
    <row r="182" spans="1:38">
      <c r="A182" s="18" t="s">
        <v>299</v>
      </c>
      <c r="B182" s="18">
        <v>80105950</v>
      </c>
      <c r="C182" s="18">
        <v>80105950</v>
      </c>
      <c r="D182" s="18" t="s">
        <v>18</v>
      </c>
      <c r="E182" s="18" t="s">
        <v>89</v>
      </c>
      <c r="F182" s="18" t="s">
        <v>175</v>
      </c>
      <c r="G182" s="18" t="s">
        <v>175</v>
      </c>
      <c r="H182" s="18" t="s">
        <v>175</v>
      </c>
      <c r="I182" s="18" t="s">
        <v>176</v>
      </c>
      <c r="J182" s="18" t="s">
        <v>205</v>
      </c>
      <c r="K182" s="18" t="s">
        <v>175</v>
      </c>
      <c r="L182" s="19" t="s">
        <v>177</v>
      </c>
      <c r="M182" s="19" t="s">
        <v>177</v>
      </c>
      <c r="N182" s="19" t="s">
        <v>177</v>
      </c>
      <c r="O182" s="18" t="s">
        <v>175</v>
      </c>
      <c r="P182" s="18" t="s">
        <v>176</v>
      </c>
      <c r="Q182" s="18" t="s">
        <v>181</v>
      </c>
      <c r="R182" s="19" t="s">
        <v>177</v>
      </c>
      <c r="S182" s="18" t="s">
        <v>205</v>
      </c>
      <c r="T182" s="18" t="s">
        <v>440</v>
      </c>
      <c r="U182" s="19" t="s">
        <v>177</v>
      </c>
      <c r="V182" s="19" t="s">
        <v>177</v>
      </c>
      <c r="W182" s="18" t="s">
        <v>176</v>
      </c>
      <c r="X182" s="18" t="s">
        <v>181</v>
      </c>
      <c r="Y182" s="19" t="s">
        <v>177</v>
      </c>
      <c r="Z182" s="19" t="s">
        <v>177</v>
      </c>
      <c r="AL182" t="str">
        <f>IFERROR(_xlfn.XLOOKUP(E182, Branches!$B$2:$B$100, Branches!$C$2:$C$100, "خطأ في الكود"), "")</f>
        <v>Zayed Al Subaie</v>
      </c>
    </row>
    <row r="183" spans="1:38">
      <c r="A183" s="14" t="s">
        <v>300</v>
      </c>
      <c r="B183" s="14">
        <v>80093219</v>
      </c>
      <c r="C183" s="14">
        <v>80093219</v>
      </c>
      <c r="D183" s="18" t="s">
        <v>18</v>
      </c>
      <c r="E183" s="18" t="s">
        <v>95</v>
      </c>
      <c r="F183" s="15" t="s">
        <v>189</v>
      </c>
      <c r="G183" s="19" t="s">
        <v>177</v>
      </c>
      <c r="H183" s="19" t="s">
        <v>177</v>
      </c>
      <c r="I183" s="14" t="s">
        <v>176</v>
      </c>
      <c r="J183" s="15" t="s">
        <v>189</v>
      </c>
      <c r="K183" s="14" t="s">
        <v>175</v>
      </c>
      <c r="L183" s="14" t="s">
        <v>175</v>
      </c>
      <c r="M183" s="14" t="s">
        <v>175</v>
      </c>
      <c r="N183" s="19" t="s">
        <v>177</v>
      </c>
      <c r="O183" s="14" t="s">
        <v>175</v>
      </c>
      <c r="P183" s="14" t="s">
        <v>179</v>
      </c>
      <c r="Q183" s="14" t="s">
        <v>175</v>
      </c>
      <c r="R183" s="19" t="s">
        <v>177</v>
      </c>
      <c r="S183" s="19" t="s">
        <v>177</v>
      </c>
      <c r="T183" s="14" t="s">
        <v>175</v>
      </c>
      <c r="U183" s="14" t="s">
        <v>175</v>
      </c>
      <c r="V183" s="19" t="s">
        <v>177</v>
      </c>
      <c r="W183" s="14" t="s">
        <v>176</v>
      </c>
      <c r="X183" s="14" t="s">
        <v>175</v>
      </c>
      <c r="Y183" s="19" t="s">
        <v>177</v>
      </c>
      <c r="Z183" s="19" t="s">
        <v>177</v>
      </c>
      <c r="AL183" t="str">
        <f>IFERROR(_xlfn.XLOOKUP(E183, Branches!$B$2:$B$100, Branches!$C$2:$C$100, "خطأ في الكود"), "")</f>
        <v>Zayed Al Subaie</v>
      </c>
    </row>
    <row r="184" spans="1:38">
      <c r="A184" s="18" t="s">
        <v>301</v>
      </c>
      <c r="B184" s="18">
        <v>80030300</v>
      </c>
      <c r="C184" s="18">
        <v>80030300</v>
      </c>
      <c r="D184" s="18" t="s">
        <v>18</v>
      </c>
      <c r="E184" s="18" t="s">
        <v>155</v>
      </c>
      <c r="F184" s="19" t="s">
        <v>177</v>
      </c>
      <c r="G184" s="18" t="s">
        <v>175</v>
      </c>
      <c r="H184" s="18" t="s">
        <v>175</v>
      </c>
      <c r="I184" s="18" t="s">
        <v>176</v>
      </c>
      <c r="J184" s="19" t="s">
        <v>177</v>
      </c>
      <c r="K184" s="18" t="s">
        <v>192</v>
      </c>
      <c r="L184" s="18" t="s">
        <v>175</v>
      </c>
      <c r="M184" s="18" t="s">
        <v>175</v>
      </c>
      <c r="N184" s="18" t="s">
        <v>192</v>
      </c>
      <c r="O184" s="18" t="s">
        <v>175</v>
      </c>
      <c r="P184" s="18" t="s">
        <v>176</v>
      </c>
      <c r="Q184" s="18" t="s">
        <v>184</v>
      </c>
      <c r="R184" s="18" t="s">
        <v>184</v>
      </c>
      <c r="S184" s="18" t="s">
        <v>184</v>
      </c>
      <c r="T184" s="18" t="s">
        <v>184</v>
      </c>
      <c r="U184" s="18" t="s">
        <v>184</v>
      </c>
      <c r="V184" s="18" t="s">
        <v>184</v>
      </c>
      <c r="W184" s="18" t="s">
        <v>184</v>
      </c>
      <c r="X184" s="18" t="s">
        <v>184</v>
      </c>
      <c r="Y184" s="18" t="s">
        <v>184</v>
      </c>
      <c r="Z184" s="18" t="s">
        <v>184</v>
      </c>
      <c r="AL184" t="str">
        <f>IFERROR(_xlfn.XLOOKUP(E184, Branches!$B$2:$B$100, Branches!$C$2:$C$100, "خطأ في الكود"), "")</f>
        <v>Zayed Al Subaie</v>
      </c>
    </row>
    <row r="185" spans="1:38">
      <c r="A185" s="14" t="s">
        <v>164</v>
      </c>
      <c r="B185" s="14">
        <v>80000001</v>
      </c>
      <c r="C185" s="14">
        <v>80000001</v>
      </c>
      <c r="D185" s="18" t="s">
        <v>18</v>
      </c>
      <c r="E185" s="18" t="s">
        <v>165</v>
      </c>
      <c r="F185" s="14" t="s">
        <v>205</v>
      </c>
      <c r="G185" s="14" t="s">
        <v>205</v>
      </c>
      <c r="H185" s="14" t="s">
        <v>205</v>
      </c>
      <c r="I185" s="14" t="s">
        <v>205</v>
      </c>
      <c r="J185" s="14" t="s">
        <v>205</v>
      </c>
      <c r="K185" s="14" t="s">
        <v>205</v>
      </c>
      <c r="L185" s="14" t="s">
        <v>205</v>
      </c>
      <c r="M185" s="14" t="s">
        <v>205</v>
      </c>
      <c r="N185" s="14" t="s">
        <v>205</v>
      </c>
      <c r="O185" s="14" t="s">
        <v>205</v>
      </c>
      <c r="P185" s="14" t="s">
        <v>205</v>
      </c>
      <c r="Q185" s="14" t="s">
        <v>205</v>
      </c>
      <c r="R185" s="14" t="s">
        <v>205</v>
      </c>
      <c r="S185" s="14" t="s">
        <v>205</v>
      </c>
      <c r="T185" s="14" t="s">
        <v>205</v>
      </c>
      <c r="U185" s="14" t="s">
        <v>205</v>
      </c>
      <c r="V185" s="14" t="s">
        <v>205</v>
      </c>
      <c r="W185" s="14" t="s">
        <v>205</v>
      </c>
      <c r="X185" s="14" t="s">
        <v>205</v>
      </c>
      <c r="Y185" s="14" t="s">
        <v>205</v>
      </c>
      <c r="Z185" s="14" t="s">
        <v>205</v>
      </c>
      <c r="AL185" t="str">
        <f>IFERROR(_xlfn.XLOOKUP(E185, Branches!$B$2:$B$100, Branches!$C$2:$C$100, "خطأ في الكود"), "")</f>
        <v>Zayed Al Subaie</v>
      </c>
    </row>
    <row r="186" spans="1:38">
      <c r="A186" s="18" t="s">
        <v>302</v>
      </c>
      <c r="B186" s="18">
        <v>80084141</v>
      </c>
      <c r="C186" s="18">
        <v>80084141</v>
      </c>
      <c r="D186" s="18" t="s">
        <v>30</v>
      </c>
      <c r="E186" s="18" t="s">
        <v>129</v>
      </c>
      <c r="F186" s="18" t="s">
        <v>181</v>
      </c>
      <c r="G186" s="18" t="s">
        <v>181</v>
      </c>
      <c r="H186" s="18" t="s">
        <v>181</v>
      </c>
      <c r="I186" s="18" t="s">
        <v>181</v>
      </c>
      <c r="J186" s="18" t="s">
        <v>176</v>
      </c>
      <c r="K186" s="18" t="s">
        <v>175</v>
      </c>
      <c r="L186" s="18" t="s">
        <v>175</v>
      </c>
      <c r="M186" s="18" t="s">
        <v>175</v>
      </c>
      <c r="N186" s="19" t="s">
        <v>177</v>
      </c>
      <c r="O186" s="19" t="s">
        <v>177</v>
      </c>
      <c r="P186" s="18" t="s">
        <v>176</v>
      </c>
      <c r="Q186" s="19" t="s">
        <v>177</v>
      </c>
      <c r="R186" s="19" t="s">
        <v>177</v>
      </c>
      <c r="S186" s="19" t="s">
        <v>177</v>
      </c>
      <c r="T186" s="19" t="s">
        <v>177</v>
      </c>
      <c r="U186" s="19" t="s">
        <v>177</v>
      </c>
      <c r="V186" s="19" t="s">
        <v>177</v>
      </c>
      <c r="W186" s="18" t="s">
        <v>179</v>
      </c>
      <c r="X186" s="15" t="s">
        <v>189</v>
      </c>
      <c r="Y186" s="19" t="s">
        <v>177</v>
      </c>
      <c r="Z186" s="19" t="s">
        <v>177</v>
      </c>
      <c r="AL186" t="str">
        <f>IFERROR(_xlfn.XLOOKUP(E186, Branches!$B$2:$B$100, Branches!$C$2:$C$100, "خطأ في الكود"), "")</f>
        <v>Bandar Garziz</v>
      </c>
    </row>
    <row r="187" spans="1:38">
      <c r="A187" s="14" t="s">
        <v>303</v>
      </c>
      <c r="B187" s="14">
        <v>80129736</v>
      </c>
      <c r="C187" s="14">
        <v>80129736</v>
      </c>
      <c r="D187" s="18" t="s">
        <v>18</v>
      </c>
      <c r="E187" s="18" t="s">
        <v>125</v>
      </c>
      <c r="F187" s="14" t="s">
        <v>175</v>
      </c>
      <c r="G187" s="14" t="s">
        <v>175</v>
      </c>
      <c r="H187" s="14" t="s">
        <v>175</v>
      </c>
      <c r="I187" s="14" t="s">
        <v>176</v>
      </c>
      <c r="J187" s="14" t="s">
        <v>175</v>
      </c>
      <c r="K187" s="14" t="s">
        <v>175</v>
      </c>
      <c r="L187" s="14" t="s">
        <v>175</v>
      </c>
      <c r="M187" s="14" t="s">
        <v>175</v>
      </c>
      <c r="N187" s="19" t="s">
        <v>177</v>
      </c>
      <c r="O187" s="14" t="s">
        <v>175</v>
      </c>
      <c r="P187" s="14" t="s">
        <v>176</v>
      </c>
      <c r="Q187" s="14" t="s">
        <v>175</v>
      </c>
      <c r="R187" s="14" t="s">
        <v>175</v>
      </c>
      <c r="S187" s="14" t="s">
        <v>175</v>
      </c>
      <c r="T187" s="14" t="s">
        <v>175</v>
      </c>
      <c r="U187" s="14" t="s">
        <v>175</v>
      </c>
      <c r="V187" s="14" t="s">
        <v>175</v>
      </c>
      <c r="W187" s="14" t="s">
        <v>176</v>
      </c>
      <c r="X187" s="14" t="s">
        <v>175</v>
      </c>
      <c r="Y187" s="14" t="s">
        <v>175</v>
      </c>
      <c r="Z187" s="19" t="s">
        <v>177</v>
      </c>
      <c r="AL187" t="str">
        <f>IFERROR(_xlfn.XLOOKUP(E187, Branches!$B$2:$B$100, Branches!$C$2:$C$100, "خطأ في الكود"), "")</f>
        <v>Zayed Al Subaie</v>
      </c>
    </row>
    <row r="188" spans="1:38">
      <c r="A188" s="18" t="s">
        <v>304</v>
      </c>
      <c r="B188" s="18">
        <v>80057838</v>
      </c>
      <c r="C188" s="18">
        <v>80057838</v>
      </c>
      <c r="D188" s="18" t="s">
        <v>30</v>
      </c>
      <c r="E188" s="18" t="s">
        <v>103</v>
      </c>
      <c r="F188" s="18" t="s">
        <v>184</v>
      </c>
      <c r="G188" s="18" t="s">
        <v>184</v>
      </c>
      <c r="H188" s="18" t="s">
        <v>184</v>
      </c>
      <c r="I188" s="18" t="s">
        <v>184</v>
      </c>
      <c r="J188" s="18" t="s">
        <v>184</v>
      </c>
      <c r="K188" s="18" t="s">
        <v>184</v>
      </c>
      <c r="L188" s="18" t="s">
        <v>184</v>
      </c>
      <c r="M188" s="18" t="s">
        <v>184</v>
      </c>
      <c r="N188" s="18" t="s">
        <v>184</v>
      </c>
      <c r="O188" s="18" t="s">
        <v>184</v>
      </c>
      <c r="P188" s="18" t="s">
        <v>184</v>
      </c>
      <c r="Q188" s="18" t="s">
        <v>184</v>
      </c>
      <c r="R188" s="18" t="s">
        <v>181</v>
      </c>
      <c r="S188" s="18" t="s">
        <v>181</v>
      </c>
      <c r="T188" s="18" t="s">
        <v>181</v>
      </c>
      <c r="U188" s="18" t="s">
        <v>181</v>
      </c>
      <c r="V188" s="18" t="s">
        <v>181</v>
      </c>
      <c r="W188" s="18" t="s">
        <v>181</v>
      </c>
      <c r="X188" s="18" t="s">
        <v>176</v>
      </c>
      <c r="Y188" s="18" t="s">
        <v>181</v>
      </c>
      <c r="Z188" s="18" t="s">
        <v>181</v>
      </c>
      <c r="AL188" t="str">
        <f>IFERROR(_xlfn.XLOOKUP(E188, Branches!$B$2:$B$100, Branches!$C$2:$C$100, "خطأ في الكود"), "")</f>
        <v>Bandar Garziz</v>
      </c>
    </row>
    <row r="189" spans="1:38">
      <c r="A189" s="14" t="s">
        <v>305</v>
      </c>
      <c r="B189" s="14">
        <v>80129208</v>
      </c>
      <c r="C189" s="14">
        <v>80129208</v>
      </c>
      <c r="D189" s="18" t="s">
        <v>46</v>
      </c>
      <c r="E189" s="18" t="s">
        <v>123</v>
      </c>
      <c r="F189" s="14" t="s">
        <v>181</v>
      </c>
      <c r="G189" s="14" t="s">
        <v>181</v>
      </c>
      <c r="H189" s="14" t="s">
        <v>181</v>
      </c>
      <c r="I189" s="14" t="s">
        <v>176</v>
      </c>
      <c r="J189" s="14" t="s">
        <v>181</v>
      </c>
      <c r="K189" s="14" t="s">
        <v>181</v>
      </c>
      <c r="L189" s="14" t="s">
        <v>181</v>
      </c>
      <c r="M189" s="14" t="s">
        <v>181</v>
      </c>
      <c r="N189" s="14" t="s">
        <v>181</v>
      </c>
      <c r="O189" s="15" t="s">
        <v>180</v>
      </c>
      <c r="P189" s="14" t="s">
        <v>181</v>
      </c>
      <c r="Q189" s="14" t="s">
        <v>176</v>
      </c>
      <c r="R189" s="14" t="s">
        <v>181</v>
      </c>
      <c r="S189" s="14" t="s">
        <v>181</v>
      </c>
      <c r="T189" s="19" t="s">
        <v>178</v>
      </c>
      <c r="U189" s="14" t="s">
        <v>181</v>
      </c>
      <c r="V189" s="14" t="s">
        <v>181</v>
      </c>
      <c r="W189" s="14" t="s">
        <v>181</v>
      </c>
      <c r="X189" s="14" t="s">
        <v>176</v>
      </c>
      <c r="Y189" s="14" t="s">
        <v>181</v>
      </c>
      <c r="Z189" s="14" t="s">
        <v>181</v>
      </c>
      <c r="AL189" t="str">
        <f>IFERROR(_xlfn.XLOOKUP(E189, Branches!$B$2:$B$100, Branches!$C$2:$C$100, "خطأ في الكود"), "")</f>
        <v>Musab Hakami</v>
      </c>
    </row>
    <row r="190" spans="1:38">
      <c r="A190" s="18" t="s">
        <v>306</v>
      </c>
      <c r="B190" s="18">
        <v>80081943</v>
      </c>
      <c r="C190" s="18">
        <v>80081943</v>
      </c>
      <c r="D190" s="18" t="s">
        <v>18</v>
      </c>
      <c r="E190" s="18" t="s">
        <v>165</v>
      </c>
      <c r="F190" s="18" t="s">
        <v>175</v>
      </c>
      <c r="G190" s="18" t="s">
        <v>175</v>
      </c>
      <c r="H190" s="18" t="s">
        <v>175</v>
      </c>
      <c r="I190" s="18" t="s">
        <v>176</v>
      </c>
      <c r="J190" s="19" t="s">
        <v>177</v>
      </c>
      <c r="K190" s="18" t="s">
        <v>175</v>
      </c>
      <c r="L190" s="18" t="s">
        <v>175</v>
      </c>
      <c r="M190" s="18" t="s">
        <v>175</v>
      </c>
      <c r="N190" s="19" t="s">
        <v>177</v>
      </c>
      <c r="O190" s="18" t="s">
        <v>175</v>
      </c>
      <c r="P190" s="18" t="s">
        <v>176</v>
      </c>
      <c r="Q190" s="19" t="s">
        <v>177</v>
      </c>
      <c r="R190" s="18" t="s">
        <v>175</v>
      </c>
      <c r="S190" s="18" t="s">
        <v>175</v>
      </c>
      <c r="T190" s="19" t="s">
        <v>177</v>
      </c>
      <c r="U190" s="18" t="s">
        <v>175</v>
      </c>
      <c r="V190" s="19" t="s">
        <v>177</v>
      </c>
      <c r="W190" s="18" t="s">
        <v>176</v>
      </c>
      <c r="X190" s="18" t="s">
        <v>175</v>
      </c>
      <c r="Y190" s="18" t="s">
        <v>175</v>
      </c>
      <c r="Z190" s="18" t="s">
        <v>175</v>
      </c>
      <c r="AL190" t="str">
        <f>IFERROR(_xlfn.XLOOKUP(E190, Branches!$B$2:$B$100, Branches!$C$2:$C$100, "خطأ في الكود"), "")</f>
        <v>Zayed Al Subaie</v>
      </c>
    </row>
    <row r="191" spans="1:38">
      <c r="A191" s="14" t="s">
        <v>307</v>
      </c>
      <c r="B191" s="14">
        <v>80123633</v>
      </c>
      <c r="C191" s="14">
        <v>80123633</v>
      </c>
      <c r="D191" s="18" t="s">
        <v>46</v>
      </c>
      <c r="E191" s="18" t="s">
        <v>47</v>
      </c>
      <c r="F191" s="14" t="s">
        <v>175</v>
      </c>
      <c r="G191" s="14" t="s">
        <v>175</v>
      </c>
      <c r="H191" s="14" t="s">
        <v>175</v>
      </c>
      <c r="I191" s="14" t="s">
        <v>176</v>
      </c>
      <c r="J191" s="14" t="s">
        <v>181</v>
      </c>
      <c r="K191" s="14" t="s">
        <v>181</v>
      </c>
      <c r="L191" s="14" t="s">
        <v>181</v>
      </c>
      <c r="M191" s="14" t="s">
        <v>181</v>
      </c>
      <c r="N191" s="14" t="s">
        <v>181</v>
      </c>
      <c r="O191" s="15" t="s">
        <v>180</v>
      </c>
      <c r="P191" s="14" t="s">
        <v>176</v>
      </c>
      <c r="Q191" s="14" t="s">
        <v>175</v>
      </c>
      <c r="R191" s="14" t="s">
        <v>205</v>
      </c>
      <c r="S191" s="14" t="s">
        <v>205</v>
      </c>
      <c r="T191" s="14" t="s">
        <v>175</v>
      </c>
      <c r="U191" s="14" t="s">
        <v>175</v>
      </c>
      <c r="V191" s="14" t="s">
        <v>175</v>
      </c>
      <c r="W191" s="14" t="s">
        <v>181</v>
      </c>
      <c r="X191" s="14" t="s">
        <v>176</v>
      </c>
      <c r="Y191" s="14" t="s">
        <v>181</v>
      </c>
      <c r="Z191" s="14" t="s">
        <v>181</v>
      </c>
      <c r="AL191" t="str">
        <f>IFERROR(_xlfn.XLOOKUP(E191, Branches!$B$2:$B$100, Branches!$C$2:$C$100, "خطأ في الكود"), "")</f>
        <v>Musab Hakami</v>
      </c>
    </row>
    <row r="192" spans="1:38">
      <c r="A192" s="18" t="s">
        <v>308</v>
      </c>
      <c r="B192" s="18">
        <v>80129340</v>
      </c>
      <c r="C192" s="18">
        <v>80129340</v>
      </c>
      <c r="D192" s="18" t="s">
        <v>46</v>
      </c>
      <c r="E192" s="18" t="s">
        <v>123</v>
      </c>
      <c r="F192" s="18" t="s">
        <v>181</v>
      </c>
      <c r="G192" s="18" t="s">
        <v>181</v>
      </c>
      <c r="H192" s="18" t="s">
        <v>176</v>
      </c>
      <c r="I192" s="18" t="s">
        <v>181</v>
      </c>
      <c r="J192" s="19" t="s">
        <v>178</v>
      </c>
      <c r="K192" s="18" t="s">
        <v>181</v>
      </c>
      <c r="L192" s="18" t="s">
        <v>181</v>
      </c>
      <c r="M192" s="18" t="s">
        <v>181</v>
      </c>
      <c r="N192" s="18" t="s">
        <v>181</v>
      </c>
      <c r="O192" s="18" t="s">
        <v>176</v>
      </c>
      <c r="P192" s="19" t="s">
        <v>178</v>
      </c>
      <c r="Q192" s="18" t="s">
        <v>181</v>
      </c>
      <c r="R192" s="18" t="s">
        <v>181</v>
      </c>
      <c r="S192" s="18" t="s">
        <v>181</v>
      </c>
      <c r="T192" s="18" t="s">
        <v>181</v>
      </c>
      <c r="U192" s="18" t="s">
        <v>277</v>
      </c>
      <c r="V192" s="18" t="s">
        <v>176</v>
      </c>
      <c r="W192" s="18" t="s">
        <v>181</v>
      </c>
      <c r="X192" s="18" t="s">
        <v>181</v>
      </c>
      <c r="Y192" s="18" t="s">
        <v>181</v>
      </c>
      <c r="Z192" s="18" t="s">
        <v>181</v>
      </c>
      <c r="AL192" t="str">
        <f>IFERROR(_xlfn.XLOOKUP(E192, Branches!$B$2:$B$100, Branches!$C$2:$C$100, "خطأ في الكود"), "")</f>
        <v>Musab Hakami</v>
      </c>
    </row>
    <row r="193" spans="1:38">
      <c r="A193" s="14" t="s">
        <v>309</v>
      </c>
      <c r="B193" s="14">
        <v>80057719</v>
      </c>
      <c r="C193" s="14">
        <v>80057719</v>
      </c>
      <c r="D193" s="18" t="s">
        <v>18</v>
      </c>
      <c r="E193" s="18" t="s">
        <v>71</v>
      </c>
      <c r="F193" s="14" t="s">
        <v>175</v>
      </c>
      <c r="G193" s="19" t="s">
        <v>177</v>
      </c>
      <c r="H193" s="19" t="s">
        <v>177</v>
      </c>
      <c r="I193" s="14" t="s">
        <v>181</v>
      </c>
      <c r="J193" s="14" t="s">
        <v>182</v>
      </c>
      <c r="K193" s="19" t="s">
        <v>177</v>
      </c>
      <c r="L193" s="19" t="s">
        <v>177</v>
      </c>
      <c r="M193" s="19" t="s">
        <v>177</v>
      </c>
      <c r="N193" s="19" t="s">
        <v>177</v>
      </c>
      <c r="O193" s="14" t="s">
        <v>175</v>
      </c>
      <c r="P193" s="14" t="s">
        <v>181</v>
      </c>
      <c r="Q193" s="14" t="s">
        <v>176</v>
      </c>
      <c r="R193" s="14" t="s">
        <v>175</v>
      </c>
      <c r="S193" s="15" t="s">
        <v>189</v>
      </c>
      <c r="T193" s="19" t="s">
        <v>177</v>
      </c>
      <c r="U193" s="19" t="s">
        <v>177</v>
      </c>
      <c r="V193" s="19" t="s">
        <v>177</v>
      </c>
      <c r="W193" s="14" t="s">
        <v>181</v>
      </c>
      <c r="X193" s="14" t="s">
        <v>179</v>
      </c>
      <c r="Y193" s="19" t="s">
        <v>177</v>
      </c>
      <c r="Z193" s="19" t="s">
        <v>177</v>
      </c>
      <c r="AL193" t="str">
        <f>IFERROR(_xlfn.XLOOKUP(E193, Branches!$B$2:$B$100, Branches!$C$2:$C$100, "خطأ في الكود"), "")</f>
        <v>Zayed Al Subaie</v>
      </c>
    </row>
    <row r="194" spans="1:38">
      <c r="A194" s="18" t="s">
        <v>310</v>
      </c>
      <c r="B194" s="18">
        <v>80111667</v>
      </c>
      <c r="C194" s="18">
        <v>80111667</v>
      </c>
      <c r="D194" s="18" t="s">
        <v>18</v>
      </c>
      <c r="E194" s="18" t="s">
        <v>137</v>
      </c>
      <c r="F194" s="19" t="s">
        <v>177</v>
      </c>
      <c r="G194" s="18" t="s">
        <v>175</v>
      </c>
      <c r="H194" s="19" t="s">
        <v>177</v>
      </c>
      <c r="I194" s="18" t="s">
        <v>176</v>
      </c>
      <c r="J194" s="18" t="s">
        <v>175</v>
      </c>
      <c r="K194" s="19" t="s">
        <v>177</v>
      </c>
      <c r="L194" s="19" t="s">
        <v>177</v>
      </c>
      <c r="M194" s="18" t="s">
        <v>175</v>
      </c>
      <c r="N194" s="19" t="s">
        <v>177</v>
      </c>
      <c r="O194" s="18" t="s">
        <v>175</v>
      </c>
      <c r="P194" s="18" t="s">
        <v>176</v>
      </c>
      <c r="Q194" s="19" t="s">
        <v>178</v>
      </c>
      <c r="R194" s="18" t="s">
        <v>181</v>
      </c>
      <c r="S194" s="18" t="s">
        <v>181</v>
      </c>
      <c r="T194" s="18" t="s">
        <v>181</v>
      </c>
      <c r="U194" s="18" t="s">
        <v>181</v>
      </c>
      <c r="V194" s="18" t="s">
        <v>176</v>
      </c>
      <c r="W194" s="18" t="s">
        <v>181</v>
      </c>
      <c r="X194" s="19" t="s">
        <v>178</v>
      </c>
      <c r="Y194" s="18" t="s">
        <v>184</v>
      </c>
      <c r="Z194" s="19" t="s">
        <v>178</v>
      </c>
      <c r="AL194" t="str">
        <f>IFERROR(_xlfn.XLOOKUP(E194, Branches!$B$2:$B$100, Branches!$C$2:$C$100, "خطأ في الكود"), "")</f>
        <v>Zayed Al Subaie</v>
      </c>
    </row>
    <row r="195" spans="1:38">
      <c r="A195" s="14" t="s">
        <v>311</v>
      </c>
      <c r="B195" s="14">
        <v>80128920</v>
      </c>
      <c r="C195" s="14">
        <v>80128920</v>
      </c>
      <c r="D195" s="18" t="s">
        <v>18</v>
      </c>
      <c r="E195" s="18" t="s">
        <v>75</v>
      </c>
      <c r="F195" s="14" t="s">
        <v>175</v>
      </c>
      <c r="G195" s="14" t="s">
        <v>182</v>
      </c>
      <c r="H195" s="14" t="s">
        <v>182</v>
      </c>
      <c r="I195" s="14" t="s">
        <v>176</v>
      </c>
      <c r="J195" s="14" t="s">
        <v>175</v>
      </c>
      <c r="K195" s="14" t="s">
        <v>440</v>
      </c>
      <c r="L195" s="14" t="s">
        <v>181</v>
      </c>
      <c r="M195" s="14" t="s">
        <v>181</v>
      </c>
      <c r="N195" s="14" t="s">
        <v>181</v>
      </c>
      <c r="O195" s="15" t="s">
        <v>180</v>
      </c>
      <c r="P195" s="14" t="s">
        <v>176</v>
      </c>
      <c r="Q195" s="14" t="s">
        <v>181</v>
      </c>
      <c r="R195" s="14" t="s">
        <v>181</v>
      </c>
      <c r="S195" s="14" t="s">
        <v>205</v>
      </c>
      <c r="T195" s="14" t="s">
        <v>181</v>
      </c>
      <c r="U195" s="14" t="s">
        <v>181</v>
      </c>
      <c r="V195" s="14" t="s">
        <v>181</v>
      </c>
      <c r="W195" s="14" t="s">
        <v>176</v>
      </c>
      <c r="X195" s="14" t="s">
        <v>181</v>
      </c>
      <c r="Y195" s="15" t="s">
        <v>180</v>
      </c>
      <c r="Z195" s="14" t="s">
        <v>181</v>
      </c>
      <c r="AL195" t="str">
        <f>IFERROR(_xlfn.XLOOKUP(E195, Branches!$B$2:$B$100, Branches!$C$2:$C$100, "خطأ في الكود"), "")</f>
        <v>Othman Al Sagri</v>
      </c>
    </row>
    <row r="196" spans="1:38">
      <c r="A196" s="18" t="s">
        <v>312</v>
      </c>
      <c r="B196" s="18">
        <v>80105960</v>
      </c>
      <c r="C196" s="18">
        <v>80105960</v>
      </c>
      <c r="D196" s="18" t="s">
        <v>30</v>
      </c>
      <c r="E196" s="18" t="s">
        <v>147</v>
      </c>
      <c r="F196" s="18" t="s">
        <v>181</v>
      </c>
      <c r="G196" s="18" t="s">
        <v>181</v>
      </c>
      <c r="H196" s="18" t="s">
        <v>181</v>
      </c>
      <c r="I196" s="18" t="s">
        <v>176</v>
      </c>
      <c r="J196" s="18" t="s">
        <v>181</v>
      </c>
      <c r="K196" s="19" t="s">
        <v>178</v>
      </c>
      <c r="L196" s="18" t="s">
        <v>181</v>
      </c>
      <c r="M196" s="19" t="s">
        <v>178</v>
      </c>
      <c r="N196" s="18" t="s">
        <v>181</v>
      </c>
      <c r="O196" s="18" t="s">
        <v>175</v>
      </c>
      <c r="P196" s="18" t="s">
        <v>184</v>
      </c>
      <c r="Q196" s="18" t="s">
        <v>184</v>
      </c>
      <c r="R196" s="18" t="s">
        <v>184</v>
      </c>
      <c r="S196" s="18" t="s">
        <v>184</v>
      </c>
      <c r="T196" s="18" t="s">
        <v>184</v>
      </c>
      <c r="U196" s="18" t="s">
        <v>184</v>
      </c>
      <c r="V196" s="18" t="s">
        <v>184</v>
      </c>
      <c r="W196" s="18" t="s">
        <v>184</v>
      </c>
      <c r="X196" s="18" t="s">
        <v>184</v>
      </c>
      <c r="Y196" s="18" t="s">
        <v>184</v>
      </c>
      <c r="Z196" s="18" t="s">
        <v>184</v>
      </c>
      <c r="AL196" t="str">
        <f>IFERROR(_xlfn.XLOOKUP(E196, Branches!$B$2:$B$100, Branches!$C$2:$C$100, "خطأ في الكود"), "")</f>
        <v>Abdul Rahman Mohsen Al Enzi</v>
      </c>
    </row>
    <row r="197" spans="1:38">
      <c r="A197" s="14" t="s">
        <v>313</v>
      </c>
      <c r="B197" s="14">
        <v>80070487</v>
      </c>
      <c r="C197" s="14">
        <v>80070487</v>
      </c>
      <c r="D197" s="18" t="s">
        <v>46</v>
      </c>
      <c r="E197" s="18" t="s">
        <v>47</v>
      </c>
      <c r="F197" s="14" t="s">
        <v>181</v>
      </c>
      <c r="G197" s="14" t="s">
        <v>181</v>
      </c>
      <c r="H197" s="14" t="s">
        <v>181</v>
      </c>
      <c r="I197" s="14" t="s">
        <v>176</v>
      </c>
      <c r="J197" s="14" t="s">
        <v>175</v>
      </c>
      <c r="K197" s="14" t="s">
        <v>175</v>
      </c>
      <c r="L197" s="19" t="s">
        <v>177</v>
      </c>
      <c r="M197" s="14" t="s">
        <v>175</v>
      </c>
      <c r="N197" s="19" t="s">
        <v>177</v>
      </c>
      <c r="O197" s="14" t="s">
        <v>175</v>
      </c>
      <c r="P197" s="14" t="s">
        <v>176</v>
      </c>
      <c r="Q197" s="14" t="s">
        <v>181</v>
      </c>
      <c r="R197" s="14" t="s">
        <v>181</v>
      </c>
      <c r="S197" s="19" t="s">
        <v>178</v>
      </c>
      <c r="T197" s="14" t="s">
        <v>181</v>
      </c>
      <c r="U197" s="14" t="s">
        <v>181</v>
      </c>
      <c r="V197" s="14" t="s">
        <v>181</v>
      </c>
      <c r="W197" s="14" t="s">
        <v>176</v>
      </c>
      <c r="X197" s="14" t="s">
        <v>181</v>
      </c>
      <c r="Y197" s="19" t="s">
        <v>178</v>
      </c>
      <c r="Z197" s="19" t="s">
        <v>178</v>
      </c>
      <c r="AL197" t="str">
        <f>IFERROR(_xlfn.XLOOKUP(E197, Branches!$B$2:$B$100, Branches!$C$2:$C$100, "خطأ في الكود"), "")</f>
        <v>Musab Hakami</v>
      </c>
    </row>
    <row r="198" spans="1:38">
      <c r="A198" s="18" t="s">
        <v>314</v>
      </c>
      <c r="B198" s="18">
        <v>80114091</v>
      </c>
      <c r="C198" s="18">
        <v>80114091</v>
      </c>
      <c r="D198" s="18" t="s">
        <v>41</v>
      </c>
      <c r="E198" s="18" t="s">
        <v>157</v>
      </c>
      <c r="F198" s="19" t="s">
        <v>178</v>
      </c>
      <c r="G198" s="19" t="s">
        <v>178</v>
      </c>
      <c r="H198" s="19" t="s">
        <v>178</v>
      </c>
      <c r="I198" s="19" t="s">
        <v>178</v>
      </c>
      <c r="J198" s="18" t="s">
        <v>176</v>
      </c>
      <c r="K198" s="19" t="s">
        <v>178</v>
      </c>
      <c r="L198" s="19" t="s">
        <v>178</v>
      </c>
      <c r="M198" s="19" t="s">
        <v>178</v>
      </c>
      <c r="N198" s="19" t="s">
        <v>178</v>
      </c>
      <c r="O198" s="15" t="s">
        <v>180</v>
      </c>
      <c r="P198" s="18" t="s">
        <v>176</v>
      </c>
      <c r="Q198" s="19" t="s">
        <v>177</v>
      </c>
      <c r="R198" s="19" t="s">
        <v>177</v>
      </c>
      <c r="S198" s="19" t="s">
        <v>177</v>
      </c>
      <c r="T198" s="19" t="s">
        <v>177</v>
      </c>
      <c r="U198" s="18" t="s">
        <v>175</v>
      </c>
      <c r="V198" s="19" t="s">
        <v>177</v>
      </c>
      <c r="W198" s="18" t="s">
        <v>176</v>
      </c>
      <c r="X198" s="19" t="s">
        <v>177</v>
      </c>
      <c r="Y198" s="19" t="s">
        <v>177</v>
      </c>
      <c r="Z198" s="18" t="s">
        <v>181</v>
      </c>
      <c r="AL198" t="str">
        <f>IFERROR(_xlfn.XLOOKUP(E198, Branches!$B$2:$B$100, Branches!$C$2:$C$100, "خطأ في الكود"), "")</f>
        <v>Mohammed Al - Gahtani</v>
      </c>
    </row>
    <row r="199" spans="1:38">
      <c r="A199" s="14" t="s">
        <v>315</v>
      </c>
      <c r="B199" s="14">
        <v>80111573</v>
      </c>
      <c r="C199" s="14">
        <v>80111573</v>
      </c>
      <c r="D199" s="18" t="s">
        <v>18</v>
      </c>
      <c r="E199" s="18" t="s">
        <v>97</v>
      </c>
      <c r="F199" s="14" t="s">
        <v>181</v>
      </c>
      <c r="G199" s="14" t="s">
        <v>184</v>
      </c>
      <c r="H199" s="19" t="s">
        <v>178</v>
      </c>
      <c r="I199" s="19" t="s">
        <v>178</v>
      </c>
      <c r="J199" s="14" t="s">
        <v>176</v>
      </c>
      <c r="K199" s="14" t="s">
        <v>181</v>
      </c>
      <c r="L199" s="19" t="s">
        <v>178</v>
      </c>
      <c r="M199" s="14" t="s">
        <v>181</v>
      </c>
      <c r="N199" s="19" t="s">
        <v>178</v>
      </c>
      <c r="O199" s="14" t="s">
        <v>181</v>
      </c>
      <c r="P199" s="14" t="s">
        <v>181</v>
      </c>
      <c r="Q199" s="14" t="s">
        <v>176</v>
      </c>
      <c r="R199" s="19" t="s">
        <v>178</v>
      </c>
      <c r="S199" s="14" t="s">
        <v>181</v>
      </c>
      <c r="T199" s="14" t="s">
        <v>181</v>
      </c>
      <c r="U199" s="19" t="s">
        <v>177</v>
      </c>
      <c r="V199" s="14" t="s">
        <v>181</v>
      </c>
      <c r="W199" s="14" t="s">
        <v>176</v>
      </c>
      <c r="X199" s="14" t="s">
        <v>181</v>
      </c>
      <c r="Y199" s="19" t="s">
        <v>177</v>
      </c>
      <c r="Z199" s="19" t="s">
        <v>177</v>
      </c>
      <c r="AL199" t="str">
        <f>IFERROR(_xlfn.XLOOKUP(E199, Branches!$B$2:$B$100, Branches!$C$2:$C$100, "خطأ في الكود"), "")</f>
        <v>Zayed Al Subaie</v>
      </c>
    </row>
    <row r="200" spans="1:38">
      <c r="A200" s="18" t="s">
        <v>316</v>
      </c>
      <c r="B200" s="18">
        <v>80089125</v>
      </c>
      <c r="C200" s="18">
        <v>80089125</v>
      </c>
      <c r="D200" s="18" t="s">
        <v>18</v>
      </c>
      <c r="E200" s="18" t="s">
        <v>89</v>
      </c>
      <c r="F200" s="18" t="s">
        <v>181</v>
      </c>
      <c r="G200" s="18" t="s">
        <v>181</v>
      </c>
      <c r="H200" s="19" t="s">
        <v>178</v>
      </c>
      <c r="I200" s="19" t="s">
        <v>178</v>
      </c>
      <c r="J200" s="18" t="s">
        <v>176</v>
      </c>
      <c r="K200" s="18" t="s">
        <v>181</v>
      </c>
      <c r="L200" s="19" t="s">
        <v>178</v>
      </c>
      <c r="M200" s="18" t="s">
        <v>184</v>
      </c>
      <c r="N200" s="19" t="s">
        <v>178</v>
      </c>
      <c r="O200" s="15" t="s">
        <v>180</v>
      </c>
      <c r="P200" s="18" t="s">
        <v>181</v>
      </c>
      <c r="Q200" s="18" t="s">
        <v>176</v>
      </c>
      <c r="R200" s="19" t="s">
        <v>178</v>
      </c>
      <c r="S200" s="19" t="s">
        <v>178</v>
      </c>
      <c r="T200" s="18" t="s">
        <v>184</v>
      </c>
      <c r="U200" s="19" t="s">
        <v>178</v>
      </c>
      <c r="V200" s="19" t="s">
        <v>178</v>
      </c>
      <c r="W200" s="19" t="s">
        <v>178</v>
      </c>
      <c r="X200" s="18" t="s">
        <v>176</v>
      </c>
      <c r="Y200" s="19" t="s">
        <v>178</v>
      </c>
      <c r="Z200" s="19" t="s">
        <v>178</v>
      </c>
      <c r="AL200" t="str">
        <f>IFERROR(_xlfn.XLOOKUP(E200, Branches!$B$2:$B$100, Branches!$C$2:$C$100, "خطأ في الكود"), "")</f>
        <v>Zayed Al Subaie</v>
      </c>
    </row>
    <row r="201" spans="1:38">
      <c r="A201" s="14" t="s">
        <v>317</v>
      </c>
      <c r="B201" s="14">
        <v>80127801</v>
      </c>
      <c r="C201" s="14">
        <v>80127801</v>
      </c>
      <c r="D201" s="18" t="s">
        <v>46</v>
      </c>
      <c r="E201" s="18" t="s">
        <v>151</v>
      </c>
      <c r="F201" s="19" t="s">
        <v>177</v>
      </c>
      <c r="G201" s="19" t="s">
        <v>177</v>
      </c>
      <c r="H201" s="19" t="s">
        <v>177</v>
      </c>
      <c r="I201" s="14" t="s">
        <v>176</v>
      </c>
      <c r="J201" s="14" t="s">
        <v>175</v>
      </c>
      <c r="K201" s="14" t="s">
        <v>175</v>
      </c>
      <c r="L201" s="14" t="s">
        <v>175</v>
      </c>
      <c r="M201" s="14" t="s">
        <v>175</v>
      </c>
      <c r="N201" s="19" t="s">
        <v>177</v>
      </c>
      <c r="O201" s="14" t="s">
        <v>175</v>
      </c>
      <c r="P201" s="14" t="s">
        <v>179</v>
      </c>
      <c r="Q201" s="15" t="s">
        <v>180</v>
      </c>
      <c r="R201" s="14" t="s">
        <v>181</v>
      </c>
      <c r="S201" s="14" t="s">
        <v>181</v>
      </c>
      <c r="T201" s="14" t="s">
        <v>181</v>
      </c>
      <c r="U201" s="14" t="s">
        <v>181</v>
      </c>
      <c r="V201" s="14" t="s">
        <v>181</v>
      </c>
      <c r="W201" s="14" t="s">
        <v>176</v>
      </c>
      <c r="X201" s="14" t="s">
        <v>181</v>
      </c>
      <c r="Y201" s="14" t="s">
        <v>181</v>
      </c>
      <c r="Z201" s="14" t="s">
        <v>181</v>
      </c>
      <c r="AL201" t="str">
        <f>IFERROR(_xlfn.XLOOKUP(E201, Branches!$B$2:$B$100, Branches!$C$2:$C$100, "خطأ في الكود"), "")</f>
        <v>Musab Hakami</v>
      </c>
    </row>
    <row r="202" spans="1:38">
      <c r="A202" s="18" t="s">
        <v>318</v>
      </c>
      <c r="B202" s="18">
        <v>80094633</v>
      </c>
      <c r="C202" s="18">
        <v>80094633</v>
      </c>
      <c r="D202" s="18" t="s">
        <v>18</v>
      </c>
      <c r="E202" s="18" t="s">
        <v>113</v>
      </c>
      <c r="F202" s="19" t="s">
        <v>178</v>
      </c>
      <c r="G202" s="18" t="s">
        <v>181</v>
      </c>
      <c r="H202" s="18" t="s">
        <v>181</v>
      </c>
      <c r="I202" s="18" t="s">
        <v>181</v>
      </c>
      <c r="J202" s="18" t="s">
        <v>184</v>
      </c>
      <c r="K202" s="18" t="s">
        <v>184</v>
      </c>
      <c r="L202" s="18" t="s">
        <v>184</v>
      </c>
      <c r="M202" s="18" t="s">
        <v>184</v>
      </c>
      <c r="N202" s="18" t="s">
        <v>184</v>
      </c>
      <c r="O202" s="18" t="s">
        <v>184</v>
      </c>
      <c r="P202" s="18" t="s">
        <v>184</v>
      </c>
      <c r="Q202" s="18" t="s">
        <v>179</v>
      </c>
      <c r="R202" s="18" t="s">
        <v>181</v>
      </c>
      <c r="S202" s="18" t="s">
        <v>181</v>
      </c>
      <c r="T202" s="18" t="s">
        <v>181</v>
      </c>
      <c r="U202" s="18" t="s">
        <v>181</v>
      </c>
      <c r="V202" s="18" t="s">
        <v>181</v>
      </c>
      <c r="W202" s="18" t="s">
        <v>181</v>
      </c>
      <c r="X202" s="18" t="s">
        <v>179</v>
      </c>
      <c r="Y202" s="18" t="s">
        <v>181</v>
      </c>
      <c r="Z202" s="18" t="s">
        <v>181</v>
      </c>
      <c r="AL202" t="str">
        <f>IFERROR(_xlfn.XLOOKUP(E202, Branches!$B$2:$B$100, Branches!$C$2:$C$100, "خطأ في الكود"), "")</f>
        <v>Zayed Al Subaie</v>
      </c>
    </row>
    <row r="203" spans="1:38">
      <c r="A203" s="14" t="s">
        <v>319</v>
      </c>
      <c r="B203" s="14">
        <v>80076842</v>
      </c>
      <c r="C203" s="14">
        <v>80076842</v>
      </c>
      <c r="D203" s="18" t="s">
        <v>27</v>
      </c>
      <c r="E203" s="18" t="s">
        <v>93</v>
      </c>
      <c r="F203" s="14" t="s">
        <v>181</v>
      </c>
      <c r="G203" s="14" t="s">
        <v>181</v>
      </c>
      <c r="H203" s="14" t="s">
        <v>181</v>
      </c>
      <c r="I203" s="14" t="s">
        <v>176</v>
      </c>
      <c r="J203" s="19" t="s">
        <v>177</v>
      </c>
      <c r="K203" s="14" t="s">
        <v>175</v>
      </c>
      <c r="L203" s="14" t="s">
        <v>175</v>
      </c>
      <c r="M203" s="14" t="s">
        <v>175</v>
      </c>
      <c r="N203" s="19" t="s">
        <v>177</v>
      </c>
      <c r="O203" s="19" t="s">
        <v>177</v>
      </c>
      <c r="P203" s="14" t="s">
        <v>176</v>
      </c>
      <c r="Q203" s="14" t="s">
        <v>184</v>
      </c>
      <c r="R203" s="14" t="s">
        <v>184</v>
      </c>
      <c r="S203" s="14" t="s">
        <v>184</v>
      </c>
      <c r="T203" s="14" t="s">
        <v>184</v>
      </c>
      <c r="U203" s="14" t="s">
        <v>181</v>
      </c>
      <c r="V203" s="14" t="s">
        <v>192</v>
      </c>
      <c r="W203" s="14" t="s">
        <v>179</v>
      </c>
      <c r="X203" s="14" t="s">
        <v>175</v>
      </c>
      <c r="Y203" s="19" t="s">
        <v>177</v>
      </c>
      <c r="Z203" s="14" t="s">
        <v>175</v>
      </c>
      <c r="AL203" t="str">
        <f>IFERROR(_xlfn.XLOOKUP(E203, Branches!$B$2:$B$100, Branches!$C$2:$C$100, "خطأ في الكود"), "")</f>
        <v>Mohammed Gobran Abdali</v>
      </c>
    </row>
    <row r="204" spans="1:38">
      <c r="A204" s="18" t="s">
        <v>166</v>
      </c>
      <c r="B204" s="18">
        <v>80128435</v>
      </c>
      <c r="C204" s="18">
        <v>80128435</v>
      </c>
      <c r="D204" s="18" t="s">
        <v>27</v>
      </c>
      <c r="E204" s="18" t="s">
        <v>167</v>
      </c>
      <c r="F204" s="18" t="s">
        <v>181</v>
      </c>
      <c r="G204" s="18" t="s">
        <v>181</v>
      </c>
      <c r="H204" s="18" t="s">
        <v>181</v>
      </c>
      <c r="I204" s="18" t="s">
        <v>181</v>
      </c>
      <c r="J204" s="18" t="s">
        <v>176</v>
      </c>
      <c r="K204" s="18" t="s">
        <v>175</v>
      </c>
      <c r="L204" s="18" t="s">
        <v>175</v>
      </c>
      <c r="M204" s="18" t="s">
        <v>175</v>
      </c>
      <c r="N204" s="19" t="s">
        <v>177</v>
      </c>
      <c r="O204" s="18" t="s">
        <v>175</v>
      </c>
      <c r="P204" s="18" t="s">
        <v>176</v>
      </c>
      <c r="Q204" s="18" t="s">
        <v>181</v>
      </c>
      <c r="R204" s="18" t="s">
        <v>181</v>
      </c>
      <c r="S204" s="18" t="s">
        <v>181</v>
      </c>
      <c r="T204" s="18" t="s">
        <v>181</v>
      </c>
      <c r="U204" s="18" t="s">
        <v>181</v>
      </c>
      <c r="V204" s="18" t="s">
        <v>176</v>
      </c>
      <c r="W204" s="18" t="s">
        <v>181</v>
      </c>
      <c r="X204" s="18" t="s">
        <v>175</v>
      </c>
      <c r="Y204" s="18" t="s">
        <v>175</v>
      </c>
      <c r="Z204" s="18" t="s">
        <v>175</v>
      </c>
      <c r="AL204" t="str">
        <f>IFERROR(_xlfn.XLOOKUP(E204, Branches!$B$2:$B$100, Branches!$C$2:$C$100, "خطأ في الكود"), "")</f>
        <v>Mohammed Gobran Abdali</v>
      </c>
    </row>
    <row r="205" spans="1:38">
      <c r="A205" s="14" t="s">
        <v>320</v>
      </c>
      <c r="B205" s="14">
        <v>80129032</v>
      </c>
      <c r="C205" s="14">
        <v>80129032</v>
      </c>
      <c r="D205" s="18" t="s">
        <v>27</v>
      </c>
      <c r="E205" s="18" t="s">
        <v>139</v>
      </c>
      <c r="F205" s="14" t="s">
        <v>175</v>
      </c>
      <c r="G205" s="14" t="s">
        <v>175</v>
      </c>
      <c r="H205" s="14" t="s">
        <v>175</v>
      </c>
      <c r="I205" s="14" t="s">
        <v>181</v>
      </c>
      <c r="J205" s="14" t="s">
        <v>176</v>
      </c>
      <c r="K205" s="14" t="s">
        <v>184</v>
      </c>
      <c r="L205" s="14" t="s">
        <v>184</v>
      </c>
      <c r="M205" s="14" t="s">
        <v>184</v>
      </c>
      <c r="N205" s="14" t="s">
        <v>181</v>
      </c>
      <c r="O205" s="14" t="s">
        <v>176</v>
      </c>
      <c r="P205" s="14" t="s">
        <v>181</v>
      </c>
      <c r="Q205" s="14" t="s">
        <v>181</v>
      </c>
      <c r="R205" s="14" t="s">
        <v>181</v>
      </c>
      <c r="S205" s="19" t="s">
        <v>178</v>
      </c>
      <c r="T205" s="14" t="s">
        <v>181</v>
      </c>
      <c r="U205" s="14" t="s">
        <v>181</v>
      </c>
      <c r="V205" s="15" t="s">
        <v>180</v>
      </c>
      <c r="W205" s="14" t="s">
        <v>179</v>
      </c>
      <c r="X205" s="19" t="s">
        <v>177</v>
      </c>
      <c r="Y205" s="14" t="s">
        <v>175</v>
      </c>
      <c r="Z205" s="15" t="s">
        <v>189</v>
      </c>
      <c r="AL205" t="str">
        <f>IFERROR(_xlfn.XLOOKUP(E205, Branches!$B$2:$B$100, Branches!$C$2:$C$100, "خطأ في الكود"), "")</f>
        <v>Mohammed Gobran Abdali</v>
      </c>
    </row>
    <row r="206" spans="1:38">
      <c r="A206" s="18" t="s">
        <v>321</v>
      </c>
      <c r="B206" s="18">
        <v>80130048</v>
      </c>
      <c r="C206" s="18">
        <v>80130048</v>
      </c>
      <c r="D206" s="18" t="s">
        <v>46</v>
      </c>
      <c r="E206" s="18" t="s">
        <v>83</v>
      </c>
      <c r="F206" s="18" t="s">
        <v>175</v>
      </c>
      <c r="G206" s="18" t="s">
        <v>175</v>
      </c>
      <c r="H206" s="18" t="s">
        <v>175</v>
      </c>
      <c r="I206" s="18" t="s">
        <v>181</v>
      </c>
      <c r="J206" s="18" t="s">
        <v>176</v>
      </c>
      <c r="K206" s="18" t="s">
        <v>181</v>
      </c>
      <c r="L206" s="18" t="s">
        <v>181</v>
      </c>
      <c r="M206" s="18" t="s">
        <v>181</v>
      </c>
      <c r="N206" s="18" t="s">
        <v>181</v>
      </c>
      <c r="O206" s="18" t="s">
        <v>181</v>
      </c>
      <c r="P206" s="18" t="s">
        <v>181</v>
      </c>
      <c r="Q206" s="18" t="s">
        <v>176</v>
      </c>
      <c r="R206" s="19" t="s">
        <v>177</v>
      </c>
      <c r="S206" s="15" t="s">
        <v>189</v>
      </c>
      <c r="T206" s="19" t="s">
        <v>177</v>
      </c>
      <c r="U206" s="19" t="s">
        <v>177</v>
      </c>
      <c r="V206" s="19" t="s">
        <v>177</v>
      </c>
      <c r="W206" s="18" t="s">
        <v>181</v>
      </c>
      <c r="X206" s="18" t="s">
        <v>176</v>
      </c>
      <c r="Y206" s="18" t="s">
        <v>181</v>
      </c>
      <c r="Z206" s="19" t="s">
        <v>178</v>
      </c>
      <c r="AL206" t="str">
        <f>IFERROR(_xlfn.XLOOKUP(E206, Branches!$B$2:$B$100, Branches!$C$2:$C$100, "خطأ في الكود"), "")</f>
        <v>Musab Hakami</v>
      </c>
    </row>
    <row r="207" spans="1:38">
      <c r="A207" s="14" t="s">
        <v>322</v>
      </c>
      <c r="B207" s="14">
        <v>80114039</v>
      </c>
      <c r="C207" s="14">
        <v>80114039</v>
      </c>
      <c r="D207" s="18" t="s">
        <v>30</v>
      </c>
      <c r="E207" s="18" t="s">
        <v>135</v>
      </c>
      <c r="F207" s="14" t="s">
        <v>175</v>
      </c>
      <c r="G207" s="14" t="s">
        <v>175</v>
      </c>
      <c r="H207" s="14" t="s">
        <v>175</v>
      </c>
      <c r="I207" s="14" t="s">
        <v>176</v>
      </c>
      <c r="J207" s="14" t="s">
        <v>175</v>
      </c>
      <c r="K207" s="14" t="s">
        <v>175</v>
      </c>
      <c r="L207" s="14" t="s">
        <v>175</v>
      </c>
      <c r="M207" s="14" t="s">
        <v>175</v>
      </c>
      <c r="N207" s="19" t="s">
        <v>177</v>
      </c>
      <c r="O207" s="14" t="s">
        <v>175</v>
      </c>
      <c r="P207" s="14" t="s">
        <v>176</v>
      </c>
      <c r="Q207" s="14" t="s">
        <v>175</v>
      </c>
      <c r="R207" s="14" t="s">
        <v>175</v>
      </c>
      <c r="S207" s="14" t="s">
        <v>175</v>
      </c>
      <c r="T207" s="14" t="s">
        <v>175</v>
      </c>
      <c r="U207" s="14" t="s">
        <v>175</v>
      </c>
      <c r="V207" s="14" t="s">
        <v>175</v>
      </c>
      <c r="W207" s="14" t="s">
        <v>176</v>
      </c>
      <c r="X207" s="14" t="s">
        <v>175</v>
      </c>
      <c r="Y207" s="14" t="s">
        <v>175</v>
      </c>
      <c r="Z207" s="14" t="s">
        <v>175</v>
      </c>
      <c r="AL207" t="str">
        <f>IFERROR(_xlfn.XLOOKUP(E207, Branches!$B$2:$B$100, Branches!$C$2:$C$100, "خطأ في الكود"), "")</f>
        <v>Abdul Rahman Mohsen Al Enzi</v>
      </c>
    </row>
    <row r="208" spans="1:38">
      <c r="A208" s="18" t="s">
        <v>323</v>
      </c>
      <c r="B208" s="18">
        <v>80128890</v>
      </c>
      <c r="C208" s="18">
        <v>80128890</v>
      </c>
      <c r="D208" s="18" t="s">
        <v>27</v>
      </c>
      <c r="E208" s="18" t="s">
        <v>139</v>
      </c>
      <c r="F208" s="18" t="s">
        <v>181</v>
      </c>
      <c r="G208" s="18" t="s">
        <v>181</v>
      </c>
      <c r="H208" s="18" t="s">
        <v>176</v>
      </c>
      <c r="I208" s="18" t="s">
        <v>181</v>
      </c>
      <c r="J208" s="18" t="s">
        <v>181</v>
      </c>
      <c r="K208" s="18" t="s">
        <v>181</v>
      </c>
      <c r="L208" s="18" t="s">
        <v>181</v>
      </c>
      <c r="M208" s="18" t="s">
        <v>181</v>
      </c>
      <c r="N208" s="18" t="s">
        <v>181</v>
      </c>
      <c r="O208" s="18" t="s">
        <v>181</v>
      </c>
      <c r="P208" s="18" t="s">
        <v>176</v>
      </c>
      <c r="Q208" s="18" t="s">
        <v>175</v>
      </c>
      <c r="R208" s="18" t="s">
        <v>175</v>
      </c>
      <c r="S208" s="18" t="s">
        <v>175</v>
      </c>
      <c r="T208" s="18" t="s">
        <v>175</v>
      </c>
      <c r="U208" s="18" t="s">
        <v>175</v>
      </c>
      <c r="V208" s="18" t="s">
        <v>175</v>
      </c>
      <c r="W208" s="18" t="s">
        <v>181</v>
      </c>
      <c r="X208" s="18" t="s">
        <v>176</v>
      </c>
      <c r="Y208" s="18" t="s">
        <v>181</v>
      </c>
      <c r="Z208" s="18" t="s">
        <v>181</v>
      </c>
      <c r="AL208" t="str">
        <f>IFERROR(_xlfn.XLOOKUP(E208, Branches!$B$2:$B$100, Branches!$C$2:$C$100, "خطأ في الكود"), "")</f>
        <v>Mohammed Gobran Abdali</v>
      </c>
    </row>
    <row r="209" spans="1:38">
      <c r="A209" s="14" t="s">
        <v>168</v>
      </c>
      <c r="B209" s="14">
        <v>80114460</v>
      </c>
      <c r="C209" s="14">
        <v>80114460</v>
      </c>
      <c r="D209" s="18" t="s">
        <v>30</v>
      </c>
      <c r="E209" s="18" t="s">
        <v>169</v>
      </c>
      <c r="F209" s="19" t="s">
        <v>177</v>
      </c>
      <c r="G209" s="19" t="s">
        <v>177</v>
      </c>
      <c r="H209" s="19" t="s">
        <v>177</v>
      </c>
      <c r="I209" s="14" t="s">
        <v>181</v>
      </c>
      <c r="J209" s="14" t="s">
        <v>176</v>
      </c>
      <c r="K209" s="14" t="s">
        <v>175</v>
      </c>
      <c r="L209" s="19" t="s">
        <v>177</v>
      </c>
      <c r="M209" s="14" t="s">
        <v>175</v>
      </c>
      <c r="N209" s="14" t="s">
        <v>175</v>
      </c>
      <c r="O209" s="19" t="s">
        <v>177</v>
      </c>
      <c r="P209" s="14" t="s">
        <v>181</v>
      </c>
      <c r="Q209" s="14" t="s">
        <v>176</v>
      </c>
      <c r="R209" s="14" t="s">
        <v>175</v>
      </c>
      <c r="S209" s="14" t="s">
        <v>184</v>
      </c>
      <c r="T209" s="14" t="s">
        <v>182</v>
      </c>
      <c r="U209" s="19" t="s">
        <v>177</v>
      </c>
      <c r="V209" s="19" t="s">
        <v>177</v>
      </c>
      <c r="W209" s="14" t="s">
        <v>181</v>
      </c>
      <c r="X209" s="14" t="s">
        <v>176</v>
      </c>
      <c r="Y209" s="19" t="s">
        <v>177</v>
      </c>
      <c r="Z209" s="19" t="s">
        <v>177</v>
      </c>
      <c r="AL209" t="str">
        <f>IFERROR(_xlfn.XLOOKUP(E209, Branches!$B$2:$B$100, Branches!$C$2:$C$100, "خطأ في الكود"), "")</f>
        <v>Bandar Garziz</v>
      </c>
    </row>
    <row r="210" spans="1:38">
      <c r="A210" s="18" t="s">
        <v>324</v>
      </c>
      <c r="B210" s="18">
        <v>80129739</v>
      </c>
      <c r="C210" s="18">
        <v>80129739</v>
      </c>
      <c r="D210" s="18" t="s">
        <v>18</v>
      </c>
      <c r="E210" s="18" t="s">
        <v>145</v>
      </c>
      <c r="F210" s="18" t="s">
        <v>175</v>
      </c>
      <c r="G210" s="18" t="s">
        <v>175</v>
      </c>
      <c r="H210" s="19" t="s">
        <v>177</v>
      </c>
      <c r="I210" s="18" t="s">
        <v>176</v>
      </c>
      <c r="J210" s="18" t="s">
        <v>179</v>
      </c>
      <c r="K210" s="18" t="s">
        <v>175</v>
      </c>
      <c r="L210" s="18" t="s">
        <v>175</v>
      </c>
      <c r="M210" s="18" t="s">
        <v>175</v>
      </c>
      <c r="N210" s="19" t="s">
        <v>177</v>
      </c>
      <c r="O210" s="18" t="s">
        <v>175</v>
      </c>
      <c r="P210" s="18" t="s">
        <v>176</v>
      </c>
      <c r="Q210" s="18" t="s">
        <v>179</v>
      </c>
      <c r="R210" s="18" t="s">
        <v>175</v>
      </c>
      <c r="S210" s="18" t="s">
        <v>175</v>
      </c>
      <c r="T210" s="18" t="s">
        <v>175</v>
      </c>
      <c r="U210" s="18" t="s">
        <v>175</v>
      </c>
      <c r="V210" s="18" t="s">
        <v>175</v>
      </c>
      <c r="W210" s="18" t="s">
        <v>176</v>
      </c>
      <c r="X210" s="18" t="s">
        <v>179</v>
      </c>
      <c r="Y210" s="18" t="s">
        <v>175</v>
      </c>
      <c r="Z210" s="19" t="s">
        <v>177</v>
      </c>
      <c r="AL210" t="str">
        <f>IFERROR(_xlfn.XLOOKUP(E210, Branches!$B$2:$B$100, Branches!$C$2:$C$100, "خطأ في الكود"), "")</f>
        <v>Zayed Al Subaie</v>
      </c>
    </row>
    <row r="211" spans="1:38">
      <c r="A211" s="14" t="s">
        <v>325</v>
      </c>
      <c r="B211" s="14">
        <v>80099914</v>
      </c>
      <c r="C211" s="14">
        <v>80099914</v>
      </c>
      <c r="D211" s="18" t="s">
        <v>30</v>
      </c>
      <c r="E211" s="18" t="s">
        <v>169</v>
      </c>
      <c r="F211" s="19" t="s">
        <v>177</v>
      </c>
      <c r="G211" s="19" t="s">
        <v>177</v>
      </c>
      <c r="H211" s="19" t="s">
        <v>177</v>
      </c>
      <c r="I211" s="14" t="s">
        <v>176</v>
      </c>
      <c r="J211" s="19" t="s">
        <v>177</v>
      </c>
      <c r="K211" s="19" t="s">
        <v>177</v>
      </c>
      <c r="L211" s="14" t="s">
        <v>175</v>
      </c>
      <c r="M211" s="19" t="s">
        <v>177</v>
      </c>
      <c r="N211" s="14" t="s">
        <v>175</v>
      </c>
      <c r="O211" s="19" t="s">
        <v>177</v>
      </c>
      <c r="P211" s="19" t="s">
        <v>178</v>
      </c>
      <c r="Q211" s="14" t="s">
        <v>176</v>
      </c>
      <c r="R211" s="19" t="s">
        <v>178</v>
      </c>
      <c r="S211" s="14" t="s">
        <v>181</v>
      </c>
      <c r="T211" s="19" t="s">
        <v>178</v>
      </c>
      <c r="U211" s="19" t="s">
        <v>178</v>
      </c>
      <c r="V211" s="14" t="s">
        <v>181</v>
      </c>
      <c r="W211" s="14" t="s">
        <v>181</v>
      </c>
      <c r="X211" s="14" t="s">
        <v>176</v>
      </c>
      <c r="Y211" s="19" t="s">
        <v>178</v>
      </c>
      <c r="Z211" s="14" t="s">
        <v>181</v>
      </c>
      <c r="AL211" t="str">
        <f>IFERROR(_xlfn.XLOOKUP(E211, Branches!$B$2:$B$100, Branches!$C$2:$C$100, "خطأ في الكود"), "")</f>
        <v>Bandar Garziz</v>
      </c>
    </row>
    <row r="212" spans="1:38">
      <c r="A212" s="18" t="s">
        <v>326</v>
      </c>
      <c r="B212" s="18">
        <v>80001125</v>
      </c>
      <c r="C212" s="18">
        <v>80001125</v>
      </c>
      <c r="D212" s="18" t="s">
        <v>30</v>
      </c>
      <c r="E212" s="18" t="s">
        <v>149</v>
      </c>
      <c r="F212" s="18" t="s">
        <v>192</v>
      </c>
      <c r="G212" s="18" t="s">
        <v>175</v>
      </c>
      <c r="H212" s="18" t="s">
        <v>175</v>
      </c>
      <c r="I212" s="18" t="s">
        <v>176</v>
      </c>
      <c r="J212" s="19" t="s">
        <v>177</v>
      </c>
      <c r="K212" s="19" t="s">
        <v>177</v>
      </c>
      <c r="L212" s="18" t="s">
        <v>192</v>
      </c>
      <c r="M212" s="19" t="s">
        <v>177</v>
      </c>
      <c r="N212" s="18" t="s">
        <v>175</v>
      </c>
      <c r="O212" s="18" t="s">
        <v>175</v>
      </c>
      <c r="P212" s="18" t="s">
        <v>176</v>
      </c>
      <c r="Q212" s="19" t="s">
        <v>177</v>
      </c>
      <c r="R212" s="18" t="s">
        <v>192</v>
      </c>
      <c r="S212" s="18" t="s">
        <v>175</v>
      </c>
      <c r="T212" s="18" t="s">
        <v>192</v>
      </c>
      <c r="U212" s="19" t="s">
        <v>177</v>
      </c>
      <c r="V212" s="19" t="s">
        <v>177</v>
      </c>
      <c r="W212" s="18" t="s">
        <v>176</v>
      </c>
      <c r="X212" s="19" t="s">
        <v>177</v>
      </c>
      <c r="Y212" s="19" t="s">
        <v>177</v>
      </c>
      <c r="Z212" s="18" t="s">
        <v>175</v>
      </c>
      <c r="AL212" t="str">
        <f>IFERROR(_xlfn.XLOOKUP(E212, Branches!$B$2:$B$100, Branches!$C$2:$C$100, "خطأ في الكود"), "")</f>
        <v>Bandar Garziz</v>
      </c>
    </row>
    <row r="213" spans="1:38">
      <c r="A213" s="14" t="s">
        <v>327</v>
      </c>
      <c r="B213" s="14">
        <v>80104250</v>
      </c>
      <c r="C213" s="14">
        <v>80104250</v>
      </c>
      <c r="D213" s="18" t="s">
        <v>27</v>
      </c>
      <c r="E213" s="18" t="s">
        <v>93</v>
      </c>
      <c r="F213" s="14" t="s">
        <v>181</v>
      </c>
      <c r="G213" s="14" t="s">
        <v>181</v>
      </c>
      <c r="H213" s="14" t="s">
        <v>181</v>
      </c>
      <c r="I213" s="14" t="s">
        <v>176</v>
      </c>
      <c r="J213" s="14" t="s">
        <v>175</v>
      </c>
      <c r="K213" s="14" t="s">
        <v>192</v>
      </c>
      <c r="L213" s="19" t="s">
        <v>177</v>
      </c>
      <c r="M213" s="19" t="s">
        <v>177</v>
      </c>
      <c r="N213" s="19" t="s">
        <v>177</v>
      </c>
      <c r="O213" s="14" t="s">
        <v>175</v>
      </c>
      <c r="P213" s="14" t="s">
        <v>181</v>
      </c>
      <c r="Q213" s="14" t="s">
        <v>179</v>
      </c>
      <c r="R213" s="14" t="s">
        <v>181</v>
      </c>
      <c r="S213" s="14" t="s">
        <v>181</v>
      </c>
      <c r="T213" s="14" t="s">
        <v>181</v>
      </c>
      <c r="U213" s="14" t="s">
        <v>181</v>
      </c>
      <c r="V213" s="14" t="s">
        <v>181</v>
      </c>
      <c r="W213" s="15" t="s">
        <v>180</v>
      </c>
      <c r="X213" s="14" t="s">
        <v>179</v>
      </c>
      <c r="Y213" s="19" t="s">
        <v>178</v>
      </c>
      <c r="Z213" s="14" t="s">
        <v>181</v>
      </c>
      <c r="AL213" t="str">
        <f>IFERROR(_xlfn.XLOOKUP(E213, Branches!$B$2:$B$100, Branches!$C$2:$C$100, "خطأ في الكود"), "")</f>
        <v>Mohammed Gobran Abdali</v>
      </c>
    </row>
    <row r="214" spans="1:38">
      <c r="A214" s="18" t="s">
        <v>442</v>
      </c>
      <c r="B214" s="18">
        <v>80130085</v>
      </c>
      <c r="C214" s="18">
        <v>80130085</v>
      </c>
      <c r="D214" s="18" t="e">
        <v>#N/A</v>
      </c>
      <c r="E214" s="18" t="e">
        <v>#N/A</v>
      </c>
      <c r="F214" s="18" t="s">
        <v>175</v>
      </c>
      <c r="G214" s="18" t="s">
        <v>175</v>
      </c>
      <c r="H214" s="18" t="s">
        <v>175</v>
      </c>
      <c r="I214" s="18" t="s">
        <v>176</v>
      </c>
      <c r="J214" s="18" t="s">
        <v>176</v>
      </c>
      <c r="K214" s="18" t="s">
        <v>175</v>
      </c>
      <c r="L214" s="18" t="s">
        <v>175</v>
      </c>
      <c r="M214" s="18" t="s">
        <v>175</v>
      </c>
      <c r="N214" s="18" t="s">
        <v>175</v>
      </c>
      <c r="O214" s="18" t="s">
        <v>175</v>
      </c>
      <c r="P214" s="18" t="s">
        <v>176</v>
      </c>
      <c r="Q214" s="18" t="s">
        <v>176</v>
      </c>
      <c r="R214" s="19" t="s">
        <v>177</v>
      </c>
      <c r="S214" s="18" t="s">
        <v>175</v>
      </c>
      <c r="T214" s="18" t="s">
        <v>175</v>
      </c>
      <c r="U214" s="18" t="s">
        <v>175</v>
      </c>
      <c r="V214" s="18" t="s">
        <v>175</v>
      </c>
      <c r="W214" s="18" t="s">
        <v>176</v>
      </c>
      <c r="X214" s="18" t="s">
        <v>175</v>
      </c>
      <c r="Y214" s="18" t="s">
        <v>175</v>
      </c>
      <c r="Z214" s="18" t="s">
        <v>175</v>
      </c>
      <c r="AL214" t="str">
        <f>IFERROR(_xlfn.XLOOKUP(E214, Branches!$B$2:$B$100, Branches!$C$2:$C$100, "خطأ في الكود"), "")</f>
        <v/>
      </c>
    </row>
    <row r="215" spans="1:38">
      <c r="A215" s="14" t="s">
        <v>328</v>
      </c>
      <c r="B215" s="14">
        <v>80105987</v>
      </c>
      <c r="C215" s="14">
        <v>80105987</v>
      </c>
      <c r="D215" s="18" t="s">
        <v>18</v>
      </c>
      <c r="E215" s="18" t="s">
        <v>44</v>
      </c>
      <c r="F215" s="14" t="s">
        <v>175</v>
      </c>
      <c r="G215" s="14" t="s">
        <v>175</v>
      </c>
      <c r="H215" s="14" t="s">
        <v>175</v>
      </c>
      <c r="I215" s="14" t="s">
        <v>176</v>
      </c>
      <c r="J215" s="19" t="s">
        <v>177</v>
      </c>
      <c r="K215" s="14" t="s">
        <v>175</v>
      </c>
      <c r="L215" s="14" t="s">
        <v>184</v>
      </c>
      <c r="M215" s="14" t="s">
        <v>184</v>
      </c>
      <c r="N215" s="14" t="s">
        <v>184</v>
      </c>
      <c r="O215" s="14" t="s">
        <v>184</v>
      </c>
      <c r="P215" s="14" t="s">
        <v>181</v>
      </c>
      <c r="Q215" s="14" t="s">
        <v>176</v>
      </c>
      <c r="R215" s="14" t="s">
        <v>175</v>
      </c>
      <c r="S215" s="14" t="s">
        <v>175</v>
      </c>
      <c r="T215" s="14" t="s">
        <v>175</v>
      </c>
      <c r="U215" s="14" t="s">
        <v>175</v>
      </c>
      <c r="V215" s="14" t="s">
        <v>175</v>
      </c>
      <c r="W215" s="14" t="s">
        <v>176</v>
      </c>
      <c r="X215" s="14" t="s">
        <v>175</v>
      </c>
      <c r="Y215" s="14" t="s">
        <v>175</v>
      </c>
      <c r="Z215" s="19" t="s">
        <v>177</v>
      </c>
      <c r="AL215" t="str">
        <f>IFERROR(_xlfn.XLOOKUP(E215, Branches!$B$2:$B$100, Branches!$C$2:$C$100, "خطأ في الكود"), "")</f>
        <v>Zayed Al Subaie</v>
      </c>
    </row>
    <row r="216" spans="1:38">
      <c r="A216" s="18" t="s">
        <v>329</v>
      </c>
      <c r="B216" s="18">
        <v>80116536</v>
      </c>
      <c r="C216" s="18">
        <v>80116536</v>
      </c>
      <c r="D216" s="18" t="s">
        <v>46</v>
      </c>
      <c r="E216" s="18" t="s">
        <v>119</v>
      </c>
      <c r="F216" s="18" t="s">
        <v>181</v>
      </c>
      <c r="G216" s="18" t="s">
        <v>181</v>
      </c>
      <c r="H216" s="18" t="s">
        <v>181</v>
      </c>
      <c r="I216" s="18" t="s">
        <v>176</v>
      </c>
      <c r="J216" s="18" t="s">
        <v>181</v>
      </c>
      <c r="K216" s="18" t="s">
        <v>181</v>
      </c>
      <c r="L216" s="18" t="s">
        <v>181</v>
      </c>
      <c r="M216" s="18" t="s">
        <v>181</v>
      </c>
      <c r="N216" s="18" t="s">
        <v>181</v>
      </c>
      <c r="O216" s="15" t="s">
        <v>180</v>
      </c>
      <c r="P216" s="18" t="s">
        <v>176</v>
      </c>
      <c r="Q216" s="15" t="s">
        <v>189</v>
      </c>
      <c r="R216" s="18" t="s">
        <v>175</v>
      </c>
      <c r="S216" s="18" t="s">
        <v>175</v>
      </c>
      <c r="T216" s="18" t="s">
        <v>175</v>
      </c>
      <c r="U216" s="18" t="s">
        <v>175</v>
      </c>
      <c r="V216" s="18" t="s">
        <v>181</v>
      </c>
      <c r="W216" s="18" t="s">
        <v>176</v>
      </c>
      <c r="X216" s="18" t="s">
        <v>181</v>
      </c>
      <c r="Y216" s="18" t="s">
        <v>181</v>
      </c>
      <c r="Z216" s="18" t="s">
        <v>181</v>
      </c>
      <c r="AL216" t="str">
        <f>IFERROR(_xlfn.XLOOKUP(E216, Branches!$B$2:$B$100, Branches!$C$2:$C$100, "خطأ في الكود"), "")</f>
        <v>Musab Hakami</v>
      </c>
    </row>
    <row r="217" spans="1:38">
      <c r="A217" s="14" t="s">
        <v>330</v>
      </c>
      <c r="B217" s="14">
        <v>80103831</v>
      </c>
      <c r="C217" s="14">
        <v>80103831</v>
      </c>
      <c r="D217" s="18" t="s">
        <v>27</v>
      </c>
      <c r="E217" s="18" t="s">
        <v>67</v>
      </c>
      <c r="F217" s="14" t="s">
        <v>175</v>
      </c>
      <c r="G217" s="14" t="s">
        <v>175</v>
      </c>
      <c r="H217" s="14" t="s">
        <v>175</v>
      </c>
      <c r="I217" s="14" t="s">
        <v>176</v>
      </c>
      <c r="J217" s="14" t="s">
        <v>181</v>
      </c>
      <c r="K217" s="14" t="s">
        <v>181</v>
      </c>
      <c r="L217" s="14" t="s">
        <v>181</v>
      </c>
      <c r="M217" s="14" t="s">
        <v>181</v>
      </c>
      <c r="N217" s="14" t="s">
        <v>181</v>
      </c>
      <c r="O217" s="14" t="s">
        <v>181</v>
      </c>
      <c r="P217" s="14" t="s">
        <v>181</v>
      </c>
      <c r="Q217" s="14" t="s">
        <v>176</v>
      </c>
      <c r="R217" s="14" t="s">
        <v>175</v>
      </c>
      <c r="S217" s="14" t="s">
        <v>175</v>
      </c>
      <c r="T217" s="14" t="s">
        <v>175</v>
      </c>
      <c r="U217" s="14" t="s">
        <v>175</v>
      </c>
      <c r="V217" s="14" t="s">
        <v>175</v>
      </c>
      <c r="W217" s="14" t="s">
        <v>176</v>
      </c>
      <c r="X217" s="14" t="s">
        <v>181</v>
      </c>
      <c r="Y217" s="14" t="s">
        <v>181</v>
      </c>
      <c r="Z217" s="14" t="s">
        <v>181</v>
      </c>
      <c r="AL217" t="str">
        <f>IFERROR(_xlfn.XLOOKUP(E217, Branches!$B$2:$B$100, Branches!$C$2:$C$100, "خطأ في الكود"), "")</f>
        <v>Mohammed Gobran Abdali</v>
      </c>
    </row>
    <row r="218" spans="1:38">
      <c r="A218" s="18" t="s">
        <v>331</v>
      </c>
      <c r="B218" s="18">
        <v>80083603</v>
      </c>
      <c r="C218" s="18">
        <v>80083603</v>
      </c>
      <c r="D218" s="18" t="s">
        <v>18</v>
      </c>
      <c r="E218" s="18" t="s">
        <v>99</v>
      </c>
      <c r="F218" s="18" t="s">
        <v>192</v>
      </c>
      <c r="G218" s="18" t="s">
        <v>175</v>
      </c>
      <c r="H218" s="18" t="s">
        <v>175</v>
      </c>
      <c r="I218" s="18" t="s">
        <v>181</v>
      </c>
      <c r="J218" s="18" t="s">
        <v>176</v>
      </c>
      <c r="K218" s="18" t="s">
        <v>181</v>
      </c>
      <c r="L218" s="18" t="s">
        <v>181</v>
      </c>
      <c r="M218" s="18" t="s">
        <v>181</v>
      </c>
      <c r="N218" s="18" t="s">
        <v>181</v>
      </c>
      <c r="O218" s="18" t="s">
        <v>181</v>
      </c>
      <c r="P218" s="18" t="s">
        <v>176</v>
      </c>
      <c r="Q218" s="18" t="s">
        <v>192</v>
      </c>
      <c r="R218" s="18" t="s">
        <v>175</v>
      </c>
      <c r="S218" s="18" t="s">
        <v>175</v>
      </c>
      <c r="T218" s="18" t="s">
        <v>175</v>
      </c>
      <c r="U218" s="18" t="s">
        <v>175</v>
      </c>
      <c r="V218" s="18" t="s">
        <v>175</v>
      </c>
      <c r="W218" s="18" t="s">
        <v>181</v>
      </c>
      <c r="X218" s="18" t="s">
        <v>181</v>
      </c>
      <c r="Y218" s="18" t="s">
        <v>176</v>
      </c>
      <c r="Z218" s="18" t="s">
        <v>181</v>
      </c>
      <c r="AL218" t="str">
        <f>IFERROR(_xlfn.XLOOKUP(E218, Branches!$B$2:$B$100, Branches!$C$2:$C$100, "خطأ في الكود"), "")</f>
        <v>Othman Al Sagri</v>
      </c>
    </row>
    <row r="219" spans="1:38">
      <c r="A219" s="14" t="s">
        <v>332</v>
      </c>
      <c r="B219" s="14">
        <v>80126580</v>
      </c>
      <c r="C219" s="14">
        <v>80126580</v>
      </c>
      <c r="D219" s="18" t="s">
        <v>30</v>
      </c>
      <c r="E219" s="18" t="s">
        <v>169</v>
      </c>
      <c r="F219" s="14" t="s">
        <v>181</v>
      </c>
      <c r="G219" s="14" t="s">
        <v>181</v>
      </c>
      <c r="H219" s="14" t="s">
        <v>181</v>
      </c>
      <c r="I219" s="14" t="s">
        <v>181</v>
      </c>
      <c r="J219" s="14" t="s">
        <v>176</v>
      </c>
      <c r="K219" s="14" t="s">
        <v>181</v>
      </c>
      <c r="L219" s="14" t="s">
        <v>181</v>
      </c>
      <c r="M219" s="14" t="s">
        <v>181</v>
      </c>
      <c r="N219" s="14" t="s">
        <v>181</v>
      </c>
      <c r="O219" s="14" t="s">
        <v>205</v>
      </c>
      <c r="P219" s="14" t="s">
        <v>176</v>
      </c>
      <c r="Q219" s="14" t="s">
        <v>175</v>
      </c>
      <c r="R219" s="14" t="s">
        <v>175</v>
      </c>
      <c r="S219" s="14" t="s">
        <v>175</v>
      </c>
      <c r="T219" s="14" t="s">
        <v>175</v>
      </c>
      <c r="U219" s="14" t="s">
        <v>175</v>
      </c>
      <c r="V219" s="14" t="s">
        <v>175</v>
      </c>
      <c r="W219" s="14" t="s">
        <v>176</v>
      </c>
      <c r="X219" s="14" t="s">
        <v>175</v>
      </c>
      <c r="Y219" s="19" t="s">
        <v>177</v>
      </c>
      <c r="Z219" s="14" t="s">
        <v>175</v>
      </c>
      <c r="AL219" t="str">
        <f>IFERROR(_xlfn.XLOOKUP(E219, Branches!$B$2:$B$100, Branches!$C$2:$C$100, "خطأ في الكود"), "")</f>
        <v>Bandar Garziz</v>
      </c>
    </row>
    <row r="220" spans="1:38">
      <c r="A220" s="18" t="s">
        <v>333</v>
      </c>
      <c r="B220" s="18">
        <v>80105959</v>
      </c>
      <c r="C220" s="18">
        <v>80105959</v>
      </c>
      <c r="D220" s="18" t="s">
        <v>18</v>
      </c>
      <c r="E220" s="18" t="s">
        <v>155</v>
      </c>
      <c r="F220" s="19" t="s">
        <v>178</v>
      </c>
      <c r="G220" s="19" t="s">
        <v>178</v>
      </c>
      <c r="H220" s="19" t="s">
        <v>178</v>
      </c>
      <c r="I220" s="19" t="s">
        <v>178</v>
      </c>
      <c r="J220" s="18" t="s">
        <v>176</v>
      </c>
      <c r="K220" s="18" t="s">
        <v>181</v>
      </c>
      <c r="L220" s="18" t="s">
        <v>181</v>
      </c>
      <c r="M220" s="19" t="s">
        <v>178</v>
      </c>
      <c r="N220" s="18" t="s">
        <v>181</v>
      </c>
      <c r="O220" s="15" t="s">
        <v>180</v>
      </c>
      <c r="P220" s="19" t="s">
        <v>178</v>
      </c>
      <c r="Q220" s="18" t="s">
        <v>176</v>
      </c>
      <c r="R220" s="18" t="s">
        <v>181</v>
      </c>
      <c r="S220" s="18" t="s">
        <v>205</v>
      </c>
      <c r="T220" s="19" t="s">
        <v>178</v>
      </c>
      <c r="U220" s="19" t="s">
        <v>178</v>
      </c>
      <c r="V220" s="19" t="s">
        <v>178</v>
      </c>
      <c r="W220" s="19" t="s">
        <v>178</v>
      </c>
      <c r="X220" s="18" t="s">
        <v>176</v>
      </c>
      <c r="Y220" s="18" t="s">
        <v>176</v>
      </c>
      <c r="Z220" s="19" t="s">
        <v>178</v>
      </c>
      <c r="AL220" t="str">
        <f>IFERROR(_xlfn.XLOOKUP(E220, Branches!$B$2:$B$100, Branches!$C$2:$C$100, "خطأ في الكود"), "")</f>
        <v>Zayed Al Subaie</v>
      </c>
    </row>
    <row r="221" spans="1:38">
      <c r="A221" s="14" t="s">
        <v>334</v>
      </c>
      <c r="B221" s="14">
        <v>80129759</v>
      </c>
      <c r="C221" s="14">
        <v>80129759</v>
      </c>
      <c r="D221" s="18" t="s">
        <v>18</v>
      </c>
      <c r="E221" s="18" t="s">
        <v>87</v>
      </c>
      <c r="F221" s="14" t="s">
        <v>184</v>
      </c>
      <c r="G221" s="14" t="s">
        <v>184</v>
      </c>
      <c r="H221" s="14" t="s">
        <v>184</v>
      </c>
      <c r="I221" s="14" t="s">
        <v>184</v>
      </c>
      <c r="J221" s="14" t="s">
        <v>184</v>
      </c>
      <c r="K221" s="14" t="s">
        <v>184</v>
      </c>
      <c r="L221" s="14" t="s">
        <v>184</v>
      </c>
      <c r="M221" s="14" t="s">
        <v>184</v>
      </c>
      <c r="N221" s="14" t="s">
        <v>184</v>
      </c>
      <c r="O221" s="14" t="s">
        <v>184</v>
      </c>
      <c r="P221" s="14" t="s">
        <v>184</v>
      </c>
      <c r="Q221" s="14" t="s">
        <v>184</v>
      </c>
      <c r="R221" s="14" t="s">
        <v>184</v>
      </c>
      <c r="S221" s="14" t="s">
        <v>175</v>
      </c>
      <c r="T221" s="19" t="s">
        <v>177</v>
      </c>
      <c r="U221" s="14" t="s">
        <v>175</v>
      </c>
      <c r="V221" s="14" t="s">
        <v>175</v>
      </c>
      <c r="W221" s="14" t="s">
        <v>176</v>
      </c>
      <c r="X221" s="19" t="s">
        <v>177</v>
      </c>
      <c r="Y221" s="14" t="s">
        <v>175</v>
      </c>
      <c r="Z221" s="14" t="s">
        <v>175</v>
      </c>
      <c r="AL221" t="str">
        <f>IFERROR(_xlfn.XLOOKUP(E221, Branches!$B$2:$B$100, Branches!$C$2:$C$100, "خطأ في الكود"), "")</f>
        <v>Zayed Al Subaie</v>
      </c>
    </row>
    <row r="222" spans="1:38">
      <c r="A222" s="18" t="s">
        <v>335</v>
      </c>
      <c r="B222" s="18">
        <v>80126970</v>
      </c>
      <c r="C222" s="18">
        <v>80126970</v>
      </c>
      <c r="D222" s="18" t="s">
        <v>46</v>
      </c>
      <c r="E222" s="18" t="s">
        <v>159</v>
      </c>
      <c r="F222" s="18" t="s">
        <v>181</v>
      </c>
      <c r="G222" s="18" t="s">
        <v>176</v>
      </c>
      <c r="H222" s="18" t="s">
        <v>181</v>
      </c>
      <c r="I222" s="18" t="s">
        <v>181</v>
      </c>
      <c r="J222" s="18" t="s">
        <v>181</v>
      </c>
      <c r="K222" s="18" t="s">
        <v>181</v>
      </c>
      <c r="L222" s="18" t="s">
        <v>181</v>
      </c>
      <c r="M222" s="18" t="s">
        <v>181</v>
      </c>
      <c r="N222" s="18" t="s">
        <v>176</v>
      </c>
      <c r="O222" s="18" t="s">
        <v>181</v>
      </c>
      <c r="P222" s="18" t="s">
        <v>181</v>
      </c>
      <c r="Q222" s="18" t="s">
        <v>175</v>
      </c>
      <c r="R222" s="18" t="s">
        <v>175</v>
      </c>
      <c r="S222" s="18" t="s">
        <v>175</v>
      </c>
      <c r="T222" s="18" t="s">
        <v>175</v>
      </c>
      <c r="U222" s="18" t="s">
        <v>175</v>
      </c>
      <c r="V222" s="18" t="s">
        <v>175</v>
      </c>
      <c r="W222" s="18" t="s">
        <v>176</v>
      </c>
      <c r="X222" s="18" t="s">
        <v>181</v>
      </c>
      <c r="Y222" s="18" t="s">
        <v>181</v>
      </c>
      <c r="Z222" s="18" t="s">
        <v>181</v>
      </c>
      <c r="AL222" t="str">
        <f>IFERROR(_xlfn.XLOOKUP(E222, Branches!$B$2:$B$100, Branches!$C$2:$C$100, "خطأ في الكود"), "")</f>
        <v>Musab Hakami</v>
      </c>
    </row>
    <row r="223" spans="1:38">
      <c r="A223" s="14" t="s">
        <v>336</v>
      </c>
      <c r="B223" s="14">
        <v>80062554</v>
      </c>
      <c r="C223" s="14">
        <v>80062554</v>
      </c>
      <c r="D223" s="18" t="s">
        <v>30</v>
      </c>
      <c r="E223" s="18" t="s">
        <v>77</v>
      </c>
      <c r="F223" s="14" t="s">
        <v>181</v>
      </c>
      <c r="G223" s="14" t="s">
        <v>181</v>
      </c>
      <c r="H223" s="14" t="s">
        <v>181</v>
      </c>
      <c r="I223" s="14" t="s">
        <v>184</v>
      </c>
      <c r="J223" s="14" t="s">
        <v>176</v>
      </c>
      <c r="K223" s="14" t="s">
        <v>184</v>
      </c>
      <c r="L223" s="14" t="s">
        <v>184</v>
      </c>
      <c r="M223" s="14" t="s">
        <v>184</v>
      </c>
      <c r="N223" s="14" t="s">
        <v>184</v>
      </c>
      <c r="O223" s="14" t="s">
        <v>184</v>
      </c>
      <c r="P223" s="14" t="s">
        <v>184</v>
      </c>
      <c r="Q223" s="14" t="s">
        <v>184</v>
      </c>
      <c r="R223" s="14" t="s">
        <v>184</v>
      </c>
      <c r="S223" s="14" t="s">
        <v>184</v>
      </c>
      <c r="T223" s="14" t="s">
        <v>184</v>
      </c>
      <c r="U223" s="14" t="s">
        <v>184</v>
      </c>
      <c r="V223" s="14" t="s">
        <v>184</v>
      </c>
      <c r="W223" s="14" t="s">
        <v>184</v>
      </c>
      <c r="X223" s="14" t="s">
        <v>184</v>
      </c>
      <c r="Y223" s="14" t="s">
        <v>184</v>
      </c>
      <c r="Z223" s="14" t="s">
        <v>184</v>
      </c>
      <c r="AL223" t="str">
        <f>IFERROR(_xlfn.XLOOKUP(E223, Branches!$B$2:$B$100, Branches!$C$2:$C$100, "خطأ في الكود"), "")</f>
        <v>Bandar Garziz</v>
      </c>
    </row>
    <row r="224" spans="1:38">
      <c r="A224" s="18" t="s">
        <v>337</v>
      </c>
      <c r="B224" s="18">
        <v>80129401</v>
      </c>
      <c r="C224" s="18">
        <v>80129401</v>
      </c>
      <c r="D224" s="18" t="s">
        <v>41</v>
      </c>
      <c r="E224" s="18" t="s">
        <v>59</v>
      </c>
      <c r="F224" s="19" t="s">
        <v>177</v>
      </c>
      <c r="G224" s="18" t="s">
        <v>179</v>
      </c>
      <c r="H224" s="18" t="s">
        <v>175</v>
      </c>
      <c r="I224" s="18" t="s">
        <v>181</v>
      </c>
      <c r="J224" s="18" t="s">
        <v>181</v>
      </c>
      <c r="K224" s="18" t="s">
        <v>181</v>
      </c>
      <c r="L224" s="19" t="s">
        <v>178</v>
      </c>
      <c r="M224" s="19" t="s">
        <v>177</v>
      </c>
      <c r="N224" s="18" t="s">
        <v>176</v>
      </c>
      <c r="O224" s="15" t="s">
        <v>189</v>
      </c>
      <c r="P224" s="19" t="s">
        <v>178</v>
      </c>
      <c r="Q224" s="18" t="s">
        <v>181</v>
      </c>
      <c r="R224" s="18" t="s">
        <v>181</v>
      </c>
      <c r="S224" s="18" t="s">
        <v>181</v>
      </c>
      <c r="T224" s="19" t="s">
        <v>177</v>
      </c>
      <c r="U224" s="18" t="s">
        <v>176</v>
      </c>
      <c r="V224" s="19" t="s">
        <v>177</v>
      </c>
      <c r="W224" s="19" t="s">
        <v>178</v>
      </c>
      <c r="X224" s="18" t="s">
        <v>181</v>
      </c>
      <c r="Y224" s="18" t="s">
        <v>181</v>
      </c>
      <c r="Z224" s="18" t="s">
        <v>181</v>
      </c>
      <c r="AL224" t="str">
        <f>IFERROR(_xlfn.XLOOKUP(E224, Branches!$B$2:$B$100, Branches!$C$2:$C$100, "خطأ في الكود"), "")</f>
        <v>Mohammed Al - Gahtani</v>
      </c>
    </row>
    <row r="225" spans="1:38">
      <c r="A225" s="14" t="s">
        <v>338</v>
      </c>
      <c r="B225" s="14">
        <v>80118168</v>
      </c>
      <c r="C225" s="14">
        <v>80118168</v>
      </c>
      <c r="D225" s="18" t="s">
        <v>41</v>
      </c>
      <c r="E225" s="18" t="s">
        <v>53</v>
      </c>
      <c r="F225" s="14" t="s">
        <v>175</v>
      </c>
      <c r="G225" s="14" t="s">
        <v>175</v>
      </c>
      <c r="H225" s="14" t="s">
        <v>175</v>
      </c>
      <c r="I225" s="14" t="s">
        <v>176</v>
      </c>
      <c r="J225" s="14" t="s">
        <v>175</v>
      </c>
      <c r="K225" s="14" t="s">
        <v>175</v>
      </c>
      <c r="L225" s="14" t="s">
        <v>175</v>
      </c>
      <c r="M225" s="14" t="s">
        <v>175</v>
      </c>
      <c r="N225" s="19" t="s">
        <v>177</v>
      </c>
      <c r="O225" s="14" t="s">
        <v>175</v>
      </c>
      <c r="P225" s="14" t="s">
        <v>176</v>
      </c>
      <c r="Q225" s="14" t="s">
        <v>175</v>
      </c>
      <c r="R225" s="14" t="s">
        <v>175</v>
      </c>
      <c r="S225" s="15" t="s">
        <v>189</v>
      </c>
      <c r="T225" s="15" t="s">
        <v>189</v>
      </c>
      <c r="U225" s="14" t="s">
        <v>175</v>
      </c>
      <c r="V225" s="14" t="s">
        <v>175</v>
      </c>
      <c r="W225" s="14" t="s">
        <v>176</v>
      </c>
      <c r="X225" s="14" t="s">
        <v>175</v>
      </c>
      <c r="Y225" s="19" t="s">
        <v>177</v>
      </c>
      <c r="Z225" s="14" t="s">
        <v>175</v>
      </c>
      <c r="AL225" t="str">
        <f>IFERROR(_xlfn.XLOOKUP(E225, Branches!$B$2:$B$100, Branches!$C$2:$C$100, "خطأ في الكود"), "")</f>
        <v>Mohammed Al - Gahtani</v>
      </c>
    </row>
    <row r="226" spans="1:38">
      <c r="A226" s="18" t="s">
        <v>339</v>
      </c>
      <c r="B226" s="18">
        <v>80125326</v>
      </c>
      <c r="C226" s="18">
        <v>80125326</v>
      </c>
      <c r="D226" s="18" t="s">
        <v>27</v>
      </c>
      <c r="E226" s="18" t="s">
        <v>167</v>
      </c>
      <c r="F226" s="18" t="s">
        <v>175</v>
      </c>
      <c r="G226" s="18" t="s">
        <v>175</v>
      </c>
      <c r="H226" s="18" t="s">
        <v>175</v>
      </c>
      <c r="I226" s="18" t="s">
        <v>176</v>
      </c>
      <c r="J226" s="18" t="s">
        <v>181</v>
      </c>
      <c r="K226" s="18" t="s">
        <v>181</v>
      </c>
      <c r="L226" s="18" t="s">
        <v>181</v>
      </c>
      <c r="M226" s="18" t="s">
        <v>181</v>
      </c>
      <c r="N226" s="18" t="s">
        <v>181</v>
      </c>
      <c r="O226" s="18" t="s">
        <v>181</v>
      </c>
      <c r="P226" s="18" t="s">
        <v>181</v>
      </c>
      <c r="Q226" s="18" t="s">
        <v>176</v>
      </c>
      <c r="R226" s="18" t="s">
        <v>175</v>
      </c>
      <c r="S226" s="19" t="s">
        <v>177</v>
      </c>
      <c r="T226" s="18" t="s">
        <v>175</v>
      </c>
      <c r="U226" s="18" t="s">
        <v>175</v>
      </c>
      <c r="V226" s="18" t="s">
        <v>175</v>
      </c>
      <c r="W226" s="18" t="s">
        <v>176</v>
      </c>
      <c r="X226" s="18" t="s">
        <v>181</v>
      </c>
      <c r="Y226" s="18" t="s">
        <v>181</v>
      </c>
      <c r="Z226" s="18" t="s">
        <v>181</v>
      </c>
      <c r="AL226" t="str">
        <f>IFERROR(_xlfn.XLOOKUP(E226, Branches!$B$2:$B$100, Branches!$C$2:$C$100, "خطأ في الكود"), "")</f>
        <v>Mohammed Gobran Abdali</v>
      </c>
    </row>
    <row r="227" spans="1:38">
      <c r="A227" s="14" t="s">
        <v>340</v>
      </c>
      <c r="B227" s="14">
        <v>80129742</v>
      </c>
      <c r="C227" s="14">
        <v>80129742</v>
      </c>
      <c r="D227" s="18" t="s">
        <v>18</v>
      </c>
      <c r="E227" s="18" t="s">
        <v>23</v>
      </c>
      <c r="F227" s="19" t="s">
        <v>177</v>
      </c>
      <c r="G227" s="19" t="s">
        <v>177</v>
      </c>
      <c r="H227" s="19" t="s">
        <v>177</v>
      </c>
      <c r="I227" s="14" t="s">
        <v>179</v>
      </c>
      <c r="J227" s="14" t="s">
        <v>176</v>
      </c>
      <c r="K227" s="19" t="s">
        <v>177</v>
      </c>
      <c r="L227" s="19" t="s">
        <v>177</v>
      </c>
      <c r="M227" s="19" t="s">
        <v>177</v>
      </c>
      <c r="N227" s="19" t="s">
        <v>177</v>
      </c>
      <c r="O227" s="15" t="s">
        <v>189</v>
      </c>
      <c r="P227" s="14" t="s">
        <v>179</v>
      </c>
      <c r="Q227" s="14" t="s">
        <v>176</v>
      </c>
      <c r="R227" s="14" t="s">
        <v>175</v>
      </c>
      <c r="S227" s="14" t="s">
        <v>175</v>
      </c>
      <c r="T227" s="14" t="s">
        <v>175</v>
      </c>
      <c r="U227" s="14" t="s">
        <v>175</v>
      </c>
      <c r="V227" s="14" t="s">
        <v>175</v>
      </c>
      <c r="W227" s="14" t="s">
        <v>176</v>
      </c>
      <c r="X227" s="14" t="s">
        <v>179</v>
      </c>
      <c r="Y227" s="14" t="s">
        <v>175</v>
      </c>
      <c r="Z227" s="14" t="s">
        <v>175</v>
      </c>
      <c r="AL227" t="str">
        <f>IFERROR(_xlfn.XLOOKUP(E227, Branches!$B$2:$B$100, Branches!$C$2:$C$100, "خطأ في الكود"), "")</f>
        <v>Zayed Al Subaie</v>
      </c>
    </row>
    <row r="228" spans="1:38">
      <c r="A228" s="18" t="s">
        <v>341</v>
      </c>
      <c r="B228" s="18">
        <v>80119119</v>
      </c>
      <c r="C228" s="18">
        <v>80119119</v>
      </c>
      <c r="D228" s="18" t="s">
        <v>41</v>
      </c>
      <c r="E228" s="18" t="s">
        <v>107</v>
      </c>
      <c r="F228" s="18" t="s">
        <v>184</v>
      </c>
      <c r="G228" s="18" t="s">
        <v>184</v>
      </c>
      <c r="H228" s="18" t="s">
        <v>175</v>
      </c>
      <c r="I228" s="18" t="s">
        <v>176</v>
      </c>
      <c r="J228" s="19" t="s">
        <v>177</v>
      </c>
      <c r="K228" s="19" t="s">
        <v>177</v>
      </c>
      <c r="L228" s="19" t="s">
        <v>177</v>
      </c>
      <c r="M228" s="18" t="s">
        <v>175</v>
      </c>
      <c r="N228" s="19" t="s">
        <v>177</v>
      </c>
      <c r="O228" s="19" t="s">
        <v>177</v>
      </c>
      <c r="P228" s="18" t="s">
        <v>176</v>
      </c>
      <c r="Q228" s="18" t="s">
        <v>175</v>
      </c>
      <c r="R228" s="18" t="s">
        <v>175</v>
      </c>
      <c r="S228" s="18" t="s">
        <v>192</v>
      </c>
      <c r="T228" s="18" t="s">
        <v>175</v>
      </c>
      <c r="U228" s="19" t="s">
        <v>177</v>
      </c>
      <c r="V228" s="18" t="s">
        <v>175</v>
      </c>
      <c r="W228" s="18" t="s">
        <v>176</v>
      </c>
      <c r="X228" s="19" t="s">
        <v>177</v>
      </c>
      <c r="Y228" s="19" t="s">
        <v>177</v>
      </c>
      <c r="Z228" s="19" t="s">
        <v>177</v>
      </c>
      <c r="AL228" t="str">
        <f>IFERROR(_xlfn.XLOOKUP(E228, Branches!$B$2:$B$100, Branches!$C$2:$C$100, "خطأ في الكود"), "")</f>
        <v>Mohammed Al - Gahtani</v>
      </c>
    </row>
    <row r="229" spans="1:38">
      <c r="A229" s="14" t="s">
        <v>342</v>
      </c>
      <c r="B229" s="14">
        <v>80127482</v>
      </c>
      <c r="C229" s="14">
        <v>80127482</v>
      </c>
      <c r="D229" s="18" t="s">
        <v>18</v>
      </c>
      <c r="E229" s="18" t="s">
        <v>145</v>
      </c>
      <c r="F229" s="14" t="s">
        <v>205</v>
      </c>
      <c r="G229" s="14" t="s">
        <v>205</v>
      </c>
      <c r="H229" s="14" t="s">
        <v>205</v>
      </c>
      <c r="I229" s="14" t="s">
        <v>205</v>
      </c>
      <c r="J229" s="14" t="s">
        <v>205</v>
      </c>
      <c r="K229" s="14" t="s">
        <v>205</v>
      </c>
      <c r="L229" s="14" t="s">
        <v>205</v>
      </c>
      <c r="M229" s="14" t="s">
        <v>205</v>
      </c>
      <c r="N229" s="14" t="s">
        <v>205</v>
      </c>
      <c r="O229" s="14" t="s">
        <v>205</v>
      </c>
      <c r="P229" s="14" t="s">
        <v>181</v>
      </c>
      <c r="Q229" s="14" t="s">
        <v>176</v>
      </c>
      <c r="R229" s="14" t="s">
        <v>181</v>
      </c>
      <c r="S229" s="14" t="s">
        <v>181</v>
      </c>
      <c r="T229" s="14" t="s">
        <v>181</v>
      </c>
      <c r="U229" s="14" t="s">
        <v>181</v>
      </c>
      <c r="V229" s="14" t="s">
        <v>181</v>
      </c>
      <c r="W229" s="14" t="s">
        <v>181</v>
      </c>
      <c r="X229" s="14" t="s">
        <v>176</v>
      </c>
      <c r="Y229" s="14" t="s">
        <v>181</v>
      </c>
      <c r="Z229" s="14" t="s">
        <v>181</v>
      </c>
      <c r="AL229" t="str">
        <f>IFERROR(_xlfn.XLOOKUP(E229, Branches!$B$2:$B$100, Branches!$C$2:$C$100, "خطأ في الكود"), "")</f>
        <v>Zayed Al Subaie</v>
      </c>
    </row>
    <row r="230" spans="1:38">
      <c r="A230" s="18" t="s">
        <v>343</v>
      </c>
      <c r="B230" s="18">
        <v>80093227</v>
      </c>
      <c r="C230" s="18">
        <v>80093227</v>
      </c>
      <c r="D230" s="18" t="s">
        <v>18</v>
      </c>
      <c r="E230" s="18" t="s">
        <v>115</v>
      </c>
      <c r="F230" s="19" t="s">
        <v>177</v>
      </c>
      <c r="G230" s="18" t="s">
        <v>184</v>
      </c>
      <c r="H230" s="18" t="s">
        <v>184</v>
      </c>
      <c r="I230" s="18" t="s">
        <v>184</v>
      </c>
      <c r="J230" s="18" t="s">
        <v>184</v>
      </c>
      <c r="K230" s="18" t="s">
        <v>184</v>
      </c>
      <c r="L230" s="18" t="s">
        <v>184</v>
      </c>
      <c r="M230" s="18" t="s">
        <v>184</v>
      </c>
      <c r="N230" s="18" t="s">
        <v>184</v>
      </c>
      <c r="O230" s="18" t="s">
        <v>184</v>
      </c>
      <c r="P230" s="18" t="s">
        <v>184</v>
      </c>
      <c r="Q230" s="18" t="s">
        <v>184</v>
      </c>
      <c r="R230" s="18" t="s">
        <v>184</v>
      </c>
      <c r="S230" s="18" t="s">
        <v>184</v>
      </c>
      <c r="T230" s="18" t="s">
        <v>182</v>
      </c>
      <c r="U230" s="18" t="s">
        <v>184</v>
      </c>
      <c r="V230" s="18" t="s">
        <v>184</v>
      </c>
      <c r="W230" s="18" t="s">
        <v>176</v>
      </c>
      <c r="X230" s="19" t="s">
        <v>178</v>
      </c>
      <c r="Y230" s="19" t="s">
        <v>178</v>
      </c>
      <c r="Z230" s="19" t="s">
        <v>178</v>
      </c>
      <c r="AL230" t="str">
        <f>IFERROR(_xlfn.XLOOKUP(E230, Branches!$B$2:$B$100, Branches!$C$2:$C$100, "خطأ في الكود"), "")</f>
        <v>Zayed Al Subaie</v>
      </c>
    </row>
    <row r="231" spans="1:38">
      <c r="A231" s="14" t="s">
        <v>344</v>
      </c>
      <c r="B231" s="14">
        <v>80127511</v>
      </c>
      <c r="C231" s="14">
        <v>80127511</v>
      </c>
      <c r="D231" s="18" t="s">
        <v>18</v>
      </c>
      <c r="E231" s="18" t="s">
        <v>73</v>
      </c>
      <c r="F231" s="14" t="s">
        <v>175</v>
      </c>
      <c r="G231" s="14" t="s">
        <v>175</v>
      </c>
      <c r="H231" s="14" t="s">
        <v>176</v>
      </c>
      <c r="I231" s="19" t="s">
        <v>178</v>
      </c>
      <c r="J231" s="19" t="s">
        <v>178</v>
      </c>
      <c r="K231" s="14" t="s">
        <v>175</v>
      </c>
      <c r="L231" s="14" t="s">
        <v>175</v>
      </c>
      <c r="M231" s="19" t="s">
        <v>177</v>
      </c>
      <c r="N231" s="19" t="s">
        <v>177</v>
      </c>
      <c r="O231" s="14" t="s">
        <v>175</v>
      </c>
      <c r="P231" s="14" t="s">
        <v>176</v>
      </c>
      <c r="Q231" s="14" t="s">
        <v>181</v>
      </c>
      <c r="R231" s="14" t="s">
        <v>181</v>
      </c>
      <c r="S231" s="14" t="s">
        <v>181</v>
      </c>
      <c r="T231" s="14" t="s">
        <v>181</v>
      </c>
      <c r="U231" s="19" t="s">
        <v>178</v>
      </c>
      <c r="V231" s="14" t="s">
        <v>181</v>
      </c>
      <c r="W231" s="14" t="s">
        <v>179</v>
      </c>
      <c r="X231" s="19" t="s">
        <v>178</v>
      </c>
      <c r="Y231" s="14" t="s">
        <v>181</v>
      </c>
      <c r="Z231" s="14" t="s">
        <v>181</v>
      </c>
      <c r="AL231" t="str">
        <f>IFERROR(_xlfn.XLOOKUP(E231, Branches!$B$2:$B$100, Branches!$C$2:$C$100, "خطأ في الكود"), "")</f>
        <v>Zayed Al Subaie</v>
      </c>
    </row>
    <row r="232" spans="1:38">
      <c r="A232" s="18" t="s">
        <v>345</v>
      </c>
      <c r="B232" s="18">
        <v>80079313</v>
      </c>
      <c r="C232" s="18">
        <v>80079313</v>
      </c>
      <c r="D232" s="18" t="s">
        <v>46</v>
      </c>
      <c r="E232" s="18" t="s">
        <v>151</v>
      </c>
      <c r="F232" s="18" t="s">
        <v>181</v>
      </c>
      <c r="G232" s="18" t="s">
        <v>181</v>
      </c>
      <c r="H232" s="18" t="s">
        <v>181</v>
      </c>
      <c r="I232" s="18" t="s">
        <v>176</v>
      </c>
      <c r="J232" s="18" t="s">
        <v>181</v>
      </c>
      <c r="K232" s="19" t="s">
        <v>177</v>
      </c>
      <c r="L232" s="19" t="s">
        <v>177</v>
      </c>
      <c r="M232" s="19" t="s">
        <v>177</v>
      </c>
      <c r="N232" s="18" t="s">
        <v>192</v>
      </c>
      <c r="O232" s="15" t="s">
        <v>189</v>
      </c>
      <c r="P232" s="18" t="s">
        <v>176</v>
      </c>
      <c r="Q232" s="18" t="s">
        <v>181</v>
      </c>
      <c r="R232" s="19" t="s">
        <v>177</v>
      </c>
      <c r="S232" s="19" t="s">
        <v>177</v>
      </c>
      <c r="T232" s="19" t="s">
        <v>177</v>
      </c>
      <c r="U232" s="19" t="s">
        <v>177</v>
      </c>
      <c r="V232" s="19" t="s">
        <v>177</v>
      </c>
      <c r="W232" s="18" t="s">
        <v>179</v>
      </c>
      <c r="X232" s="15" t="s">
        <v>180</v>
      </c>
      <c r="Y232" s="19" t="s">
        <v>178</v>
      </c>
      <c r="Z232" s="19" t="s">
        <v>178</v>
      </c>
      <c r="AL232" t="str">
        <f>IFERROR(_xlfn.XLOOKUP(E232, Branches!$B$2:$B$100, Branches!$C$2:$C$100, "خطأ في الكود"), "")</f>
        <v>Musab Hakami</v>
      </c>
    </row>
    <row r="233" spans="1:38">
      <c r="A233" s="14" t="s">
        <v>346</v>
      </c>
      <c r="B233" s="14">
        <v>80115624</v>
      </c>
      <c r="C233" s="14">
        <v>80115624</v>
      </c>
      <c r="D233" s="18" t="s">
        <v>27</v>
      </c>
      <c r="E233" s="18" t="s">
        <v>167</v>
      </c>
      <c r="F233" s="14" t="s">
        <v>175</v>
      </c>
      <c r="G233" s="14" t="s">
        <v>175</v>
      </c>
      <c r="H233" s="19" t="s">
        <v>177</v>
      </c>
      <c r="I233" s="14" t="s">
        <v>176</v>
      </c>
      <c r="J233" s="14" t="s">
        <v>181</v>
      </c>
      <c r="K233" s="14" t="s">
        <v>181</v>
      </c>
      <c r="L233" s="14" t="s">
        <v>181</v>
      </c>
      <c r="M233" s="14" t="s">
        <v>181</v>
      </c>
      <c r="N233" s="14" t="s">
        <v>181</v>
      </c>
      <c r="O233" s="14" t="s">
        <v>176</v>
      </c>
      <c r="P233" s="14" t="s">
        <v>181</v>
      </c>
      <c r="Q233" s="14" t="s">
        <v>175</v>
      </c>
      <c r="R233" s="14" t="s">
        <v>175</v>
      </c>
      <c r="S233" s="19" t="s">
        <v>177</v>
      </c>
      <c r="T233" s="19" t="s">
        <v>177</v>
      </c>
      <c r="U233" s="14" t="s">
        <v>175</v>
      </c>
      <c r="V233" s="19" t="s">
        <v>177</v>
      </c>
      <c r="W233" s="14" t="s">
        <v>176</v>
      </c>
      <c r="X233" s="14" t="s">
        <v>181</v>
      </c>
      <c r="Y233" s="19" t="s">
        <v>178</v>
      </c>
      <c r="Z233" s="14" t="s">
        <v>181</v>
      </c>
      <c r="AL233" t="str">
        <f>IFERROR(_xlfn.XLOOKUP(E233, Branches!$B$2:$B$100, Branches!$C$2:$C$100, "خطأ في الكود"), "")</f>
        <v>Mohammed Gobran Abdali</v>
      </c>
    </row>
    <row r="234" spans="1:38">
      <c r="A234" s="18" t="s">
        <v>347</v>
      </c>
      <c r="B234" s="18">
        <v>80071245</v>
      </c>
      <c r="C234" s="18">
        <v>80071245</v>
      </c>
      <c r="D234" s="18" t="s">
        <v>27</v>
      </c>
      <c r="E234" s="18" t="s">
        <v>167</v>
      </c>
      <c r="F234" s="18" t="s">
        <v>181</v>
      </c>
      <c r="G234" s="18" t="s">
        <v>181</v>
      </c>
      <c r="H234" s="18" t="s">
        <v>176</v>
      </c>
      <c r="I234" s="18" t="s">
        <v>181</v>
      </c>
      <c r="J234" s="18" t="s">
        <v>175</v>
      </c>
      <c r="K234" s="19" t="s">
        <v>177</v>
      </c>
      <c r="L234" s="18" t="s">
        <v>175</v>
      </c>
      <c r="M234" s="18" t="s">
        <v>175</v>
      </c>
      <c r="N234" s="19" t="s">
        <v>177</v>
      </c>
      <c r="O234" s="18" t="s">
        <v>175</v>
      </c>
      <c r="P234" s="18" t="s">
        <v>176</v>
      </c>
      <c r="Q234" s="19" t="s">
        <v>178</v>
      </c>
      <c r="R234" s="19" t="s">
        <v>178</v>
      </c>
      <c r="S234" s="19" t="s">
        <v>178</v>
      </c>
      <c r="T234" s="18" t="s">
        <v>181</v>
      </c>
      <c r="U234" s="19" t="s">
        <v>178</v>
      </c>
      <c r="V234" s="19" t="s">
        <v>178</v>
      </c>
      <c r="W234" s="19" t="s">
        <v>178</v>
      </c>
      <c r="X234" s="18" t="s">
        <v>176</v>
      </c>
      <c r="Y234" s="18" t="s">
        <v>175</v>
      </c>
      <c r="Z234" s="18" t="s">
        <v>175</v>
      </c>
      <c r="AL234" t="str">
        <f>IFERROR(_xlfn.XLOOKUP(E234, Branches!$B$2:$B$100, Branches!$C$2:$C$100, "خطأ في الكود"), "")</f>
        <v>Mohammed Gobran Abdali</v>
      </c>
    </row>
    <row r="235" spans="1:38">
      <c r="A235" s="14" t="s">
        <v>348</v>
      </c>
      <c r="B235" s="14">
        <v>80127543</v>
      </c>
      <c r="C235" s="14">
        <v>80127543</v>
      </c>
      <c r="D235" s="18" t="s">
        <v>46</v>
      </c>
      <c r="E235" s="18" t="s">
        <v>123</v>
      </c>
      <c r="F235" s="14" t="s">
        <v>181</v>
      </c>
      <c r="G235" s="14" t="s">
        <v>181</v>
      </c>
      <c r="H235" s="19" t="s">
        <v>178</v>
      </c>
      <c r="I235" s="14" t="s">
        <v>181</v>
      </c>
      <c r="J235" s="14" t="s">
        <v>176</v>
      </c>
      <c r="K235" s="14" t="s">
        <v>181</v>
      </c>
      <c r="L235" s="14" t="s">
        <v>181</v>
      </c>
      <c r="M235" s="14" t="s">
        <v>181</v>
      </c>
      <c r="N235" s="14" t="s">
        <v>181</v>
      </c>
      <c r="O235" s="15" t="s">
        <v>180</v>
      </c>
      <c r="P235" s="14" t="s">
        <v>179</v>
      </c>
      <c r="Q235" s="14" t="s">
        <v>181</v>
      </c>
      <c r="R235" s="14" t="s">
        <v>181</v>
      </c>
      <c r="S235" s="14" t="s">
        <v>181</v>
      </c>
      <c r="T235" s="14" t="s">
        <v>181</v>
      </c>
      <c r="U235" s="14" t="s">
        <v>181</v>
      </c>
      <c r="V235" s="14" t="s">
        <v>181</v>
      </c>
      <c r="W235" s="14" t="s">
        <v>176</v>
      </c>
      <c r="X235" s="14" t="s">
        <v>175</v>
      </c>
      <c r="Y235" s="14" t="s">
        <v>175</v>
      </c>
      <c r="Z235" s="15" t="s">
        <v>189</v>
      </c>
      <c r="AL235" t="str">
        <f>IFERROR(_xlfn.XLOOKUP(E235, Branches!$B$2:$B$100, Branches!$C$2:$C$100, "خطأ في الكود"), "")</f>
        <v>Musab Hakami</v>
      </c>
    </row>
    <row r="236" spans="1:38">
      <c r="A236" s="18" t="s">
        <v>349</v>
      </c>
      <c r="B236" s="18">
        <v>80118137</v>
      </c>
      <c r="C236" s="18">
        <v>80118137</v>
      </c>
      <c r="D236" s="18" t="s">
        <v>18</v>
      </c>
      <c r="E236" s="18" t="s">
        <v>125</v>
      </c>
      <c r="F236" s="18" t="s">
        <v>184</v>
      </c>
      <c r="G236" s="18" t="s">
        <v>181</v>
      </c>
      <c r="H236" s="19" t="s">
        <v>178</v>
      </c>
      <c r="I236" s="18" t="s">
        <v>181</v>
      </c>
      <c r="J236" s="18" t="s">
        <v>176</v>
      </c>
      <c r="K236" s="19" t="s">
        <v>178</v>
      </c>
      <c r="L236" s="18" t="s">
        <v>181</v>
      </c>
      <c r="M236" s="18" t="s">
        <v>184</v>
      </c>
      <c r="N236" s="18" t="s">
        <v>181</v>
      </c>
      <c r="O236" s="15" t="s">
        <v>180</v>
      </c>
      <c r="P236" s="18" t="s">
        <v>181</v>
      </c>
      <c r="Q236" s="18" t="s">
        <v>176</v>
      </c>
      <c r="R236" s="19" t="s">
        <v>178</v>
      </c>
      <c r="S236" s="18" t="s">
        <v>181</v>
      </c>
      <c r="T236" s="18" t="s">
        <v>181</v>
      </c>
      <c r="U236" s="18" t="s">
        <v>181</v>
      </c>
      <c r="V236" s="19" t="s">
        <v>178</v>
      </c>
      <c r="W236" s="18" t="s">
        <v>181</v>
      </c>
      <c r="X236" s="18" t="s">
        <v>176</v>
      </c>
      <c r="Y236" s="19" t="s">
        <v>178</v>
      </c>
      <c r="Z236" s="18" t="s">
        <v>181</v>
      </c>
      <c r="AL236" t="str">
        <f>IFERROR(_xlfn.XLOOKUP(E236, Branches!$B$2:$B$100, Branches!$C$2:$C$100, "خطأ في الكود"), "")</f>
        <v>Zayed Al Subaie</v>
      </c>
    </row>
    <row r="237" spans="1:38">
      <c r="A237" s="14" t="s">
        <v>350</v>
      </c>
      <c r="B237" s="14">
        <v>80128326</v>
      </c>
      <c r="C237" s="14">
        <v>80128326</v>
      </c>
      <c r="D237" s="18" t="s">
        <v>18</v>
      </c>
      <c r="E237" s="18" t="s">
        <v>89</v>
      </c>
      <c r="F237" s="14" t="s">
        <v>175</v>
      </c>
      <c r="G237" s="14" t="s">
        <v>175</v>
      </c>
      <c r="H237" s="14" t="s">
        <v>175</v>
      </c>
      <c r="I237" s="14" t="s">
        <v>176</v>
      </c>
      <c r="J237" s="19" t="s">
        <v>177</v>
      </c>
      <c r="K237" s="19" t="s">
        <v>177</v>
      </c>
      <c r="L237" s="19" t="s">
        <v>177</v>
      </c>
      <c r="M237" s="14" t="s">
        <v>184</v>
      </c>
      <c r="N237" s="19" t="s">
        <v>177</v>
      </c>
      <c r="O237" s="19" t="s">
        <v>177</v>
      </c>
      <c r="P237" s="14" t="s">
        <v>176</v>
      </c>
      <c r="Q237" s="19" t="s">
        <v>177</v>
      </c>
      <c r="R237" s="19" t="s">
        <v>177</v>
      </c>
      <c r="S237" s="19" t="s">
        <v>177</v>
      </c>
      <c r="T237" s="14" t="s">
        <v>175</v>
      </c>
      <c r="U237" s="14" t="s">
        <v>184</v>
      </c>
      <c r="V237" s="19" t="s">
        <v>177</v>
      </c>
      <c r="W237" s="14" t="s">
        <v>176</v>
      </c>
      <c r="X237" s="19" t="s">
        <v>177</v>
      </c>
      <c r="Y237" s="19" t="s">
        <v>177</v>
      </c>
      <c r="Z237" s="15" t="s">
        <v>189</v>
      </c>
      <c r="AL237" t="str">
        <f>IFERROR(_xlfn.XLOOKUP(E237, Branches!$B$2:$B$100, Branches!$C$2:$C$100, "خطأ في الكود"), "")</f>
        <v>Zayed Al Subaie</v>
      </c>
    </row>
    <row r="238" spans="1:38">
      <c r="A238" s="18" t="s">
        <v>351</v>
      </c>
      <c r="B238" s="18">
        <v>80129758</v>
      </c>
      <c r="C238" s="18">
        <v>80129758</v>
      </c>
      <c r="D238" s="18" t="s">
        <v>18</v>
      </c>
      <c r="E238" s="18" t="s">
        <v>87</v>
      </c>
      <c r="F238" s="18" t="s">
        <v>184</v>
      </c>
      <c r="G238" s="18" t="s">
        <v>184</v>
      </c>
      <c r="H238" s="18" t="s">
        <v>184</v>
      </c>
      <c r="I238" s="18" t="s">
        <v>184</v>
      </c>
      <c r="J238" s="18" t="s">
        <v>184</v>
      </c>
      <c r="K238" s="18" t="s">
        <v>184</v>
      </c>
      <c r="L238" s="18" t="s">
        <v>184</v>
      </c>
      <c r="M238" s="18" t="s">
        <v>184</v>
      </c>
      <c r="N238" s="18" t="s">
        <v>182</v>
      </c>
      <c r="O238" s="15" t="s">
        <v>180</v>
      </c>
      <c r="P238" s="18" t="s">
        <v>181</v>
      </c>
      <c r="Q238" s="18" t="s">
        <v>176</v>
      </c>
      <c r="R238" s="18" t="s">
        <v>181</v>
      </c>
      <c r="S238" s="18" t="s">
        <v>181</v>
      </c>
      <c r="T238" s="18" t="s">
        <v>181</v>
      </c>
      <c r="U238" s="18" t="s">
        <v>181</v>
      </c>
      <c r="V238" s="18" t="s">
        <v>181</v>
      </c>
      <c r="W238" s="18" t="s">
        <v>176</v>
      </c>
      <c r="X238" s="18" t="s">
        <v>181</v>
      </c>
      <c r="Y238" s="18" t="s">
        <v>181</v>
      </c>
      <c r="Z238" s="18" t="s">
        <v>181</v>
      </c>
      <c r="AL238" t="str">
        <f>IFERROR(_xlfn.XLOOKUP(E238, Branches!$B$2:$B$100, Branches!$C$2:$C$100, "خطأ في الكود"), "")</f>
        <v>Zayed Al Subaie</v>
      </c>
    </row>
    <row r="239" spans="1:38">
      <c r="A239" s="14" t="s">
        <v>352</v>
      </c>
      <c r="B239" s="14">
        <v>80119382</v>
      </c>
      <c r="C239" s="14">
        <v>80119382</v>
      </c>
      <c r="D239" s="18" t="s">
        <v>30</v>
      </c>
      <c r="E239" s="18" t="s">
        <v>163</v>
      </c>
      <c r="F239" s="14" t="s">
        <v>181</v>
      </c>
      <c r="G239" s="14" t="s">
        <v>181</v>
      </c>
      <c r="H239" s="14" t="s">
        <v>181</v>
      </c>
      <c r="I239" s="14" t="s">
        <v>176</v>
      </c>
      <c r="J239" s="14" t="s">
        <v>181</v>
      </c>
      <c r="K239" s="14" t="s">
        <v>181</v>
      </c>
      <c r="L239" s="14" t="s">
        <v>181</v>
      </c>
      <c r="M239" s="14" t="s">
        <v>181</v>
      </c>
      <c r="N239" s="14" t="s">
        <v>181</v>
      </c>
      <c r="O239" s="14" t="s">
        <v>181</v>
      </c>
      <c r="P239" s="14" t="s">
        <v>179</v>
      </c>
      <c r="Q239" s="19" t="s">
        <v>177</v>
      </c>
      <c r="R239" s="19" t="s">
        <v>177</v>
      </c>
      <c r="S239" s="19" t="s">
        <v>177</v>
      </c>
      <c r="T239" s="19" t="s">
        <v>177</v>
      </c>
      <c r="U239" s="19" t="s">
        <v>177</v>
      </c>
      <c r="V239" s="19" t="s">
        <v>177</v>
      </c>
      <c r="W239" s="19" t="s">
        <v>178</v>
      </c>
      <c r="X239" s="14" t="s">
        <v>179</v>
      </c>
      <c r="Y239" s="19" t="s">
        <v>177</v>
      </c>
      <c r="Z239" s="19" t="s">
        <v>177</v>
      </c>
      <c r="AL239" t="str">
        <f>IFERROR(_xlfn.XLOOKUP(E239, Branches!$B$2:$B$100, Branches!$C$2:$C$100, "خطأ في الكود"), "")</f>
        <v>Bandar Garziz</v>
      </c>
    </row>
    <row r="240" spans="1:38">
      <c r="A240" s="18" t="s">
        <v>353</v>
      </c>
      <c r="B240" s="18">
        <v>80129771</v>
      </c>
      <c r="C240" s="18">
        <v>80129771</v>
      </c>
      <c r="D240" s="18" t="s">
        <v>18</v>
      </c>
      <c r="E240" s="18" t="s">
        <v>143</v>
      </c>
      <c r="F240" s="18" t="s">
        <v>184</v>
      </c>
      <c r="G240" s="18" t="s">
        <v>184</v>
      </c>
      <c r="H240" s="19" t="s">
        <v>177</v>
      </c>
      <c r="I240" s="18" t="s">
        <v>181</v>
      </c>
      <c r="J240" s="18" t="s">
        <v>176</v>
      </c>
      <c r="K240" s="18" t="s">
        <v>175</v>
      </c>
      <c r="L240" s="18" t="s">
        <v>175</v>
      </c>
      <c r="M240" s="19" t="s">
        <v>177</v>
      </c>
      <c r="N240" s="19" t="s">
        <v>177</v>
      </c>
      <c r="O240" s="15" t="s">
        <v>189</v>
      </c>
      <c r="P240" s="19" t="s">
        <v>178</v>
      </c>
      <c r="Q240" s="18" t="s">
        <v>176</v>
      </c>
      <c r="R240" s="18" t="s">
        <v>175</v>
      </c>
      <c r="S240" s="18" t="s">
        <v>175</v>
      </c>
      <c r="T240" s="18" t="s">
        <v>175</v>
      </c>
      <c r="U240" s="18" t="s">
        <v>175</v>
      </c>
      <c r="V240" s="19" t="s">
        <v>177</v>
      </c>
      <c r="W240" s="15" t="s">
        <v>180</v>
      </c>
      <c r="X240" s="18" t="s">
        <v>179</v>
      </c>
      <c r="Y240" s="19" t="s">
        <v>177</v>
      </c>
      <c r="Z240" s="18" t="s">
        <v>175</v>
      </c>
      <c r="AL240" t="str">
        <f>IFERROR(_xlfn.XLOOKUP(E240, Branches!$B$2:$B$100, Branches!$C$2:$C$100, "خطأ في الكود"), "")</f>
        <v>Zayed Al Subaie</v>
      </c>
    </row>
    <row r="241" spans="1:38">
      <c r="A241" s="14" t="s">
        <v>354</v>
      </c>
      <c r="B241" s="14">
        <v>80071762</v>
      </c>
      <c r="C241" s="14">
        <v>80071762</v>
      </c>
      <c r="D241" s="18" t="s">
        <v>46</v>
      </c>
      <c r="E241" s="18" t="s">
        <v>161</v>
      </c>
      <c r="F241" s="19" t="s">
        <v>177</v>
      </c>
      <c r="G241" s="19" t="s">
        <v>177</v>
      </c>
      <c r="H241" s="14" t="s">
        <v>181</v>
      </c>
      <c r="I241" s="14" t="s">
        <v>176</v>
      </c>
      <c r="J241" s="14" t="s">
        <v>181</v>
      </c>
      <c r="K241" s="14" t="s">
        <v>181</v>
      </c>
      <c r="L241" s="14" t="s">
        <v>181</v>
      </c>
      <c r="M241" s="14" t="s">
        <v>181</v>
      </c>
      <c r="N241" s="19" t="s">
        <v>178</v>
      </c>
      <c r="O241" s="19" t="s">
        <v>177</v>
      </c>
      <c r="P241" s="14" t="s">
        <v>176</v>
      </c>
      <c r="Q241" s="19" t="s">
        <v>177</v>
      </c>
      <c r="R241" s="14" t="s">
        <v>175</v>
      </c>
      <c r="S241" s="14" t="s">
        <v>175</v>
      </c>
      <c r="T241" s="14" t="s">
        <v>175</v>
      </c>
      <c r="U241" s="19" t="s">
        <v>177</v>
      </c>
      <c r="V241" s="14" t="s">
        <v>175</v>
      </c>
      <c r="W241" s="14" t="s">
        <v>176</v>
      </c>
      <c r="X241" s="19" t="s">
        <v>177</v>
      </c>
      <c r="Y241" s="14" t="s">
        <v>175</v>
      </c>
      <c r="Z241" s="14" t="s">
        <v>192</v>
      </c>
      <c r="AL241" t="str">
        <f>IFERROR(_xlfn.XLOOKUP(E241, Branches!$B$2:$B$100, Branches!$C$2:$C$100, "خطأ في الكود"), "")</f>
        <v>Musab Hakami</v>
      </c>
    </row>
    <row r="242" spans="1:38">
      <c r="A242" s="18" t="s">
        <v>355</v>
      </c>
      <c r="B242" s="18">
        <v>80123785</v>
      </c>
      <c r="C242" s="18">
        <v>80123785</v>
      </c>
      <c r="D242" s="18" t="s">
        <v>46</v>
      </c>
      <c r="E242" s="18" t="s">
        <v>47</v>
      </c>
      <c r="F242" s="18" t="s">
        <v>175</v>
      </c>
      <c r="G242" s="18" t="s">
        <v>175</v>
      </c>
      <c r="H242" s="18" t="s">
        <v>175</v>
      </c>
      <c r="I242" s="18" t="s">
        <v>176</v>
      </c>
      <c r="J242" s="18" t="s">
        <v>181</v>
      </c>
      <c r="K242" s="18" t="s">
        <v>181</v>
      </c>
      <c r="L242" s="18" t="s">
        <v>181</v>
      </c>
      <c r="M242" s="18" t="s">
        <v>181</v>
      </c>
      <c r="N242" s="18" t="s">
        <v>205</v>
      </c>
      <c r="O242" s="15" t="s">
        <v>180</v>
      </c>
      <c r="P242" s="18" t="s">
        <v>181</v>
      </c>
      <c r="Q242" s="18" t="s">
        <v>176</v>
      </c>
      <c r="R242" s="18" t="s">
        <v>181</v>
      </c>
      <c r="S242" s="18" t="s">
        <v>181</v>
      </c>
      <c r="T242" s="18" t="s">
        <v>181</v>
      </c>
      <c r="U242" s="18" t="s">
        <v>181</v>
      </c>
      <c r="V242" s="18" t="s">
        <v>181</v>
      </c>
      <c r="W242" s="18" t="s">
        <v>176</v>
      </c>
      <c r="X242" s="18" t="s">
        <v>175</v>
      </c>
      <c r="Y242" s="18" t="s">
        <v>175</v>
      </c>
      <c r="Z242" s="18" t="s">
        <v>175</v>
      </c>
      <c r="AL242" t="str">
        <f>IFERROR(_xlfn.XLOOKUP(E242, Branches!$B$2:$B$100, Branches!$C$2:$C$100, "خطأ في الكود"), "")</f>
        <v>Musab Hakami</v>
      </c>
    </row>
    <row r="243" spans="1:38">
      <c r="A243" s="14" t="s">
        <v>356</v>
      </c>
      <c r="B243" s="14">
        <v>80116428</v>
      </c>
      <c r="C243" s="14">
        <v>80116428</v>
      </c>
      <c r="D243" s="18" t="s">
        <v>18</v>
      </c>
      <c r="E243" s="18" t="s">
        <v>117</v>
      </c>
      <c r="F243" s="14" t="s">
        <v>205</v>
      </c>
      <c r="G243" s="14" t="s">
        <v>205</v>
      </c>
      <c r="H243" s="14" t="s">
        <v>205</v>
      </c>
      <c r="I243" s="14" t="s">
        <v>205</v>
      </c>
      <c r="J243" s="14" t="s">
        <v>205</v>
      </c>
      <c r="K243" s="14" t="s">
        <v>205</v>
      </c>
      <c r="L243" s="14" t="s">
        <v>205</v>
      </c>
      <c r="M243" s="14" t="s">
        <v>205</v>
      </c>
      <c r="N243" s="14" t="s">
        <v>205</v>
      </c>
      <c r="O243" s="14" t="s">
        <v>181</v>
      </c>
      <c r="P243" s="14" t="s">
        <v>181</v>
      </c>
      <c r="Q243" s="14" t="s">
        <v>176</v>
      </c>
      <c r="R243" s="14" t="s">
        <v>205</v>
      </c>
      <c r="S243" s="14" t="s">
        <v>175</v>
      </c>
      <c r="T243" s="14" t="s">
        <v>175</v>
      </c>
      <c r="U243" s="14" t="s">
        <v>181</v>
      </c>
      <c r="V243" s="14" t="s">
        <v>181</v>
      </c>
      <c r="W243" s="14" t="s">
        <v>176</v>
      </c>
      <c r="X243" s="14" t="s">
        <v>181</v>
      </c>
      <c r="Y243" s="14" t="s">
        <v>181</v>
      </c>
      <c r="Z243" s="14" t="s">
        <v>181</v>
      </c>
      <c r="AL243" t="str">
        <f>IFERROR(_xlfn.XLOOKUP(E243, Branches!$B$2:$B$100, Branches!$C$2:$C$100, "خطأ في الكود"), "")</f>
        <v>Zayed Al Subaie</v>
      </c>
    </row>
    <row r="244" spans="1:38">
      <c r="A244" s="18" t="s">
        <v>357</v>
      </c>
      <c r="B244" s="18">
        <v>80107564</v>
      </c>
      <c r="C244" s="18">
        <v>80107564</v>
      </c>
      <c r="D244" s="18" t="s">
        <v>18</v>
      </c>
      <c r="E244" s="18" t="s">
        <v>155</v>
      </c>
      <c r="F244" s="18" t="s">
        <v>175</v>
      </c>
      <c r="G244" s="18" t="s">
        <v>175</v>
      </c>
      <c r="H244" s="19" t="s">
        <v>177</v>
      </c>
      <c r="I244" s="18" t="s">
        <v>176</v>
      </c>
      <c r="J244" s="18" t="s">
        <v>192</v>
      </c>
      <c r="K244" s="18" t="s">
        <v>175</v>
      </c>
      <c r="L244" s="19" t="s">
        <v>177</v>
      </c>
      <c r="M244" s="18" t="s">
        <v>175</v>
      </c>
      <c r="N244" s="19" t="s">
        <v>177</v>
      </c>
      <c r="O244" s="18" t="s">
        <v>175</v>
      </c>
      <c r="P244" s="18" t="s">
        <v>176</v>
      </c>
      <c r="Q244" s="18" t="s">
        <v>175</v>
      </c>
      <c r="R244" s="19" t="s">
        <v>177</v>
      </c>
      <c r="S244" s="18" t="s">
        <v>175</v>
      </c>
      <c r="T244" s="18" t="s">
        <v>175</v>
      </c>
      <c r="U244" s="18" t="s">
        <v>175</v>
      </c>
      <c r="V244" s="18" t="s">
        <v>175</v>
      </c>
      <c r="W244" s="18" t="s">
        <v>176</v>
      </c>
      <c r="X244" s="18" t="s">
        <v>175</v>
      </c>
      <c r="Y244" s="18" t="s">
        <v>175</v>
      </c>
      <c r="Z244" s="18" t="s">
        <v>175</v>
      </c>
      <c r="AL244" t="str">
        <f>IFERROR(_xlfn.XLOOKUP(E244, Branches!$B$2:$B$100, Branches!$C$2:$C$100, "خطأ في الكود"), "")</f>
        <v>Zayed Al Subaie</v>
      </c>
    </row>
    <row r="245" spans="1:38">
      <c r="A245" s="14" t="s">
        <v>358</v>
      </c>
      <c r="B245" s="14">
        <v>80031468</v>
      </c>
      <c r="C245" s="14">
        <v>80031468</v>
      </c>
      <c r="D245" s="18" t="s">
        <v>41</v>
      </c>
      <c r="E245" s="18" t="s">
        <v>157</v>
      </c>
      <c r="F245" s="19" t="s">
        <v>178</v>
      </c>
      <c r="G245" s="19" t="s">
        <v>178</v>
      </c>
      <c r="H245" s="14" t="s">
        <v>181</v>
      </c>
      <c r="I245" s="14" t="s">
        <v>176</v>
      </c>
      <c r="J245" s="19" t="s">
        <v>178</v>
      </c>
      <c r="K245" s="19" t="s">
        <v>178</v>
      </c>
      <c r="L245" s="14" t="s">
        <v>181</v>
      </c>
      <c r="M245" s="19" t="s">
        <v>178</v>
      </c>
      <c r="N245" s="14" t="s">
        <v>181</v>
      </c>
      <c r="O245" s="15" t="s">
        <v>180</v>
      </c>
      <c r="P245" s="19" t="s">
        <v>178</v>
      </c>
      <c r="Q245" s="14" t="s">
        <v>184</v>
      </c>
      <c r="R245" s="14" t="s">
        <v>184</v>
      </c>
      <c r="S245" s="14" t="s">
        <v>184</v>
      </c>
      <c r="T245" s="14" t="s">
        <v>184</v>
      </c>
      <c r="U245" s="14" t="s">
        <v>184</v>
      </c>
      <c r="V245" s="14" t="s">
        <v>184</v>
      </c>
      <c r="W245" s="14" t="s">
        <v>184</v>
      </c>
      <c r="X245" s="14" t="s">
        <v>182</v>
      </c>
      <c r="Y245" s="19" t="s">
        <v>178</v>
      </c>
      <c r="Z245" s="19" t="s">
        <v>177</v>
      </c>
      <c r="AL245" t="str">
        <f>IFERROR(_xlfn.XLOOKUP(E245, Branches!$B$2:$B$100, Branches!$C$2:$C$100, "خطأ في الكود"), "")</f>
        <v>Mohammed Al - Gahtani</v>
      </c>
    </row>
    <row r="246" spans="1:38">
      <c r="A246" s="18" t="s">
        <v>359</v>
      </c>
      <c r="B246" s="18">
        <v>80127575</v>
      </c>
      <c r="C246" s="18">
        <v>80127575</v>
      </c>
      <c r="D246" s="18" t="s">
        <v>41</v>
      </c>
      <c r="E246" s="18" t="s">
        <v>59</v>
      </c>
      <c r="F246" s="19" t="s">
        <v>177</v>
      </c>
      <c r="G246" s="18" t="s">
        <v>184</v>
      </c>
      <c r="H246" s="19" t="s">
        <v>178</v>
      </c>
      <c r="I246" s="18" t="s">
        <v>181</v>
      </c>
      <c r="J246" s="18" t="s">
        <v>181</v>
      </c>
      <c r="K246" s="18" t="s">
        <v>181</v>
      </c>
      <c r="L246" s="18" t="s">
        <v>175</v>
      </c>
      <c r="M246" s="18" t="s">
        <v>176</v>
      </c>
      <c r="N246" s="18" t="s">
        <v>181</v>
      </c>
      <c r="O246" s="15" t="s">
        <v>180</v>
      </c>
      <c r="P246" s="18" t="s">
        <v>181</v>
      </c>
      <c r="Q246" s="18" t="s">
        <v>181</v>
      </c>
      <c r="R246" s="18" t="s">
        <v>181</v>
      </c>
      <c r="S246" s="18" t="s">
        <v>175</v>
      </c>
      <c r="T246" s="18" t="s">
        <v>176</v>
      </c>
      <c r="U246" s="15" t="s">
        <v>180</v>
      </c>
      <c r="V246" s="18" t="s">
        <v>181</v>
      </c>
      <c r="W246" s="18" t="s">
        <v>181</v>
      </c>
      <c r="X246" s="18" t="s">
        <v>181</v>
      </c>
      <c r="Y246" s="18" t="s">
        <v>181</v>
      </c>
      <c r="Z246" s="18" t="s">
        <v>175</v>
      </c>
      <c r="AL246" t="str">
        <f>IFERROR(_xlfn.XLOOKUP(E246, Branches!$B$2:$B$100, Branches!$C$2:$C$100, "خطأ في الكود"), "")</f>
        <v>Mohammed Al - Gahtani</v>
      </c>
    </row>
    <row r="247" spans="1:38">
      <c r="A247" s="14" t="s">
        <v>360</v>
      </c>
      <c r="B247" s="14">
        <v>80120596</v>
      </c>
      <c r="C247" s="14">
        <v>80120596</v>
      </c>
      <c r="D247" s="18" t="s">
        <v>18</v>
      </c>
      <c r="E247" s="18" t="s">
        <v>113</v>
      </c>
      <c r="F247" s="14" t="s">
        <v>175</v>
      </c>
      <c r="G247" s="14" t="s">
        <v>175</v>
      </c>
      <c r="H247" s="14" t="s">
        <v>175</v>
      </c>
      <c r="I247" s="14" t="s">
        <v>176</v>
      </c>
      <c r="J247" s="19" t="s">
        <v>178</v>
      </c>
      <c r="K247" s="19" t="s">
        <v>178</v>
      </c>
      <c r="L247" s="19" t="s">
        <v>178</v>
      </c>
      <c r="M247" s="19" t="s">
        <v>178</v>
      </c>
      <c r="N247" s="19" t="s">
        <v>178</v>
      </c>
      <c r="O247" s="14" t="s">
        <v>175</v>
      </c>
      <c r="P247" s="14" t="s">
        <v>179</v>
      </c>
      <c r="Q247" s="14" t="s">
        <v>184</v>
      </c>
      <c r="R247" s="14" t="s">
        <v>184</v>
      </c>
      <c r="S247" s="14" t="s">
        <v>184</v>
      </c>
      <c r="T247" s="14" t="s">
        <v>184</v>
      </c>
      <c r="U247" s="14" t="s">
        <v>184</v>
      </c>
      <c r="V247" s="14" t="s">
        <v>184</v>
      </c>
      <c r="W247" s="14" t="s">
        <v>184</v>
      </c>
      <c r="X247" s="14" t="s">
        <v>184</v>
      </c>
      <c r="Y247" s="14" t="s">
        <v>184</v>
      </c>
      <c r="Z247" s="14" t="s">
        <v>184</v>
      </c>
      <c r="AL247" t="str">
        <f>IFERROR(_xlfn.XLOOKUP(E247, Branches!$B$2:$B$100, Branches!$C$2:$C$100, "خطأ في الكود"), "")</f>
        <v>Zayed Al Subaie</v>
      </c>
    </row>
    <row r="248" spans="1:38">
      <c r="A248" s="18" t="s">
        <v>361</v>
      </c>
      <c r="B248" s="18">
        <v>80129413</v>
      </c>
      <c r="C248" s="18">
        <v>80129413</v>
      </c>
      <c r="D248" s="18" t="s">
        <v>18</v>
      </c>
      <c r="E248" s="18" t="s">
        <v>73</v>
      </c>
      <c r="F248" s="18" t="s">
        <v>175</v>
      </c>
      <c r="G248" s="18" t="s">
        <v>175</v>
      </c>
      <c r="H248" s="18" t="s">
        <v>175</v>
      </c>
      <c r="I248" s="18" t="s">
        <v>176</v>
      </c>
      <c r="J248" s="18" t="s">
        <v>181</v>
      </c>
      <c r="K248" s="18" t="s">
        <v>181</v>
      </c>
      <c r="L248" s="18" t="s">
        <v>181</v>
      </c>
      <c r="M248" s="18" t="s">
        <v>181</v>
      </c>
      <c r="N248" s="18" t="s">
        <v>181</v>
      </c>
      <c r="O248" s="18" t="s">
        <v>176</v>
      </c>
      <c r="P248" s="19" t="s">
        <v>178</v>
      </c>
      <c r="Q248" s="18" t="s">
        <v>181</v>
      </c>
      <c r="R248" s="18" t="s">
        <v>175</v>
      </c>
      <c r="S248" s="18" t="s">
        <v>175</v>
      </c>
      <c r="T248" s="18" t="s">
        <v>175</v>
      </c>
      <c r="U248" s="19" t="s">
        <v>177</v>
      </c>
      <c r="V248" s="18" t="s">
        <v>176</v>
      </c>
      <c r="W248" s="18" t="s">
        <v>181</v>
      </c>
      <c r="X248" s="18" t="s">
        <v>181</v>
      </c>
      <c r="Y248" s="18" t="s">
        <v>175</v>
      </c>
      <c r="Z248" s="18" t="s">
        <v>175</v>
      </c>
      <c r="AL248" t="str">
        <f>IFERROR(_xlfn.XLOOKUP(E248, Branches!$B$2:$B$100, Branches!$C$2:$C$100, "خطأ في الكود"), "")</f>
        <v>Zayed Al Subaie</v>
      </c>
    </row>
    <row r="249" spans="1:38">
      <c r="A249" s="14" t="s">
        <v>362</v>
      </c>
      <c r="B249" s="14">
        <v>80116829</v>
      </c>
      <c r="C249" s="14">
        <v>80116829</v>
      </c>
      <c r="D249" s="18" t="s">
        <v>27</v>
      </c>
      <c r="E249" s="18" t="s">
        <v>153</v>
      </c>
      <c r="F249" s="14" t="s">
        <v>175</v>
      </c>
      <c r="G249" s="14" t="s">
        <v>175</v>
      </c>
      <c r="H249" s="14" t="s">
        <v>175</v>
      </c>
      <c r="I249" s="14" t="s">
        <v>181</v>
      </c>
      <c r="J249" s="14" t="s">
        <v>176</v>
      </c>
      <c r="K249" s="14" t="s">
        <v>181</v>
      </c>
      <c r="L249" s="14" t="s">
        <v>181</v>
      </c>
      <c r="M249" s="14" t="s">
        <v>181</v>
      </c>
      <c r="N249" s="14" t="s">
        <v>181</v>
      </c>
      <c r="O249" s="14" t="s">
        <v>176</v>
      </c>
      <c r="P249" s="14" t="s">
        <v>181</v>
      </c>
      <c r="Q249" s="14" t="s">
        <v>181</v>
      </c>
      <c r="R249" s="14" t="s">
        <v>181</v>
      </c>
      <c r="S249" s="19" t="s">
        <v>178</v>
      </c>
      <c r="T249" s="14" t="s">
        <v>181</v>
      </c>
      <c r="U249" s="14" t="s">
        <v>181</v>
      </c>
      <c r="V249" s="19" t="s">
        <v>178</v>
      </c>
      <c r="W249" s="14" t="s">
        <v>176</v>
      </c>
      <c r="X249" s="14" t="s">
        <v>175</v>
      </c>
      <c r="Y249" s="14" t="s">
        <v>175</v>
      </c>
      <c r="Z249" s="14" t="s">
        <v>175</v>
      </c>
      <c r="AL249" t="str">
        <f>IFERROR(_xlfn.XLOOKUP(E249, Branches!$B$2:$B$100, Branches!$C$2:$C$100, "خطأ في الكود"), "")</f>
        <v>Mohammed Gobran Abdali</v>
      </c>
    </row>
    <row r="250" spans="1:38">
      <c r="A250" s="18" t="s">
        <v>363</v>
      </c>
      <c r="B250" s="18">
        <v>80090520</v>
      </c>
      <c r="C250" s="18">
        <v>80090520</v>
      </c>
      <c r="D250" s="18" t="s">
        <v>46</v>
      </c>
      <c r="E250" s="18" t="s">
        <v>119</v>
      </c>
      <c r="F250" s="18" t="s">
        <v>175</v>
      </c>
      <c r="G250" s="18" t="s">
        <v>175</v>
      </c>
      <c r="H250" s="18" t="s">
        <v>176</v>
      </c>
      <c r="I250" s="18" t="s">
        <v>181</v>
      </c>
      <c r="J250" s="18" t="s">
        <v>175</v>
      </c>
      <c r="K250" s="18" t="s">
        <v>175</v>
      </c>
      <c r="L250" s="18" t="s">
        <v>175</v>
      </c>
      <c r="M250" s="18" t="s">
        <v>175</v>
      </c>
      <c r="N250" s="19" t="s">
        <v>177</v>
      </c>
      <c r="O250" s="18" t="s">
        <v>176</v>
      </c>
      <c r="P250" s="15" t="s">
        <v>180</v>
      </c>
      <c r="Q250" s="15" t="s">
        <v>180</v>
      </c>
      <c r="R250" s="18" t="s">
        <v>181</v>
      </c>
      <c r="S250" s="18" t="s">
        <v>181</v>
      </c>
      <c r="T250" s="18" t="s">
        <v>181</v>
      </c>
      <c r="U250" s="18" t="s">
        <v>181</v>
      </c>
      <c r="V250" s="18" t="s">
        <v>176</v>
      </c>
      <c r="W250" s="18" t="s">
        <v>181</v>
      </c>
      <c r="X250" s="18" t="s">
        <v>181</v>
      </c>
      <c r="Y250" s="18" t="s">
        <v>175</v>
      </c>
      <c r="Z250" s="18" t="s">
        <v>175</v>
      </c>
      <c r="AL250" t="str">
        <f>IFERROR(_xlfn.XLOOKUP(E250, Branches!$B$2:$B$100, Branches!$C$2:$C$100, "خطأ في الكود"), "")</f>
        <v>Musab Hakami</v>
      </c>
    </row>
    <row r="251" spans="1:38">
      <c r="A251" s="14" t="s">
        <v>364</v>
      </c>
      <c r="B251" s="14">
        <v>80081583</v>
      </c>
      <c r="C251" s="14">
        <v>80081583</v>
      </c>
      <c r="D251" s="18" t="s">
        <v>46</v>
      </c>
      <c r="E251" s="18" t="s">
        <v>55</v>
      </c>
      <c r="F251" s="14" t="s">
        <v>175</v>
      </c>
      <c r="G251" s="14" t="s">
        <v>205</v>
      </c>
      <c r="H251" s="14" t="s">
        <v>175</v>
      </c>
      <c r="I251" s="14" t="s">
        <v>176</v>
      </c>
      <c r="J251" s="14" t="s">
        <v>181</v>
      </c>
      <c r="K251" s="14" t="s">
        <v>181</v>
      </c>
      <c r="L251" s="14" t="s">
        <v>181</v>
      </c>
      <c r="M251" s="14" t="s">
        <v>181</v>
      </c>
      <c r="N251" s="14" t="s">
        <v>181</v>
      </c>
      <c r="O251" s="15" t="s">
        <v>180</v>
      </c>
      <c r="P251" s="14" t="s">
        <v>176</v>
      </c>
      <c r="Q251" s="14" t="s">
        <v>181</v>
      </c>
      <c r="R251" s="14" t="s">
        <v>175</v>
      </c>
      <c r="S251" s="14" t="s">
        <v>175</v>
      </c>
      <c r="T251" s="14" t="s">
        <v>175</v>
      </c>
      <c r="U251" s="14" t="s">
        <v>175</v>
      </c>
      <c r="V251" s="14" t="s">
        <v>175</v>
      </c>
      <c r="W251" s="14" t="s">
        <v>176</v>
      </c>
      <c r="X251" s="14" t="s">
        <v>181</v>
      </c>
      <c r="Y251" s="14" t="s">
        <v>181</v>
      </c>
      <c r="Z251" s="14" t="s">
        <v>181</v>
      </c>
      <c r="AL251" t="str">
        <f>IFERROR(_xlfn.XLOOKUP(E251, Branches!$B$2:$B$100, Branches!$C$2:$C$100, "خطأ في الكود"), "")</f>
        <v>Musab Hakami</v>
      </c>
    </row>
    <row r="252" spans="1:38">
      <c r="A252" s="18" t="s">
        <v>365</v>
      </c>
      <c r="B252" s="18">
        <v>80117077</v>
      </c>
      <c r="C252" s="18">
        <v>80117077</v>
      </c>
      <c r="D252" s="18" t="s">
        <v>18</v>
      </c>
      <c r="E252" s="18" t="s">
        <v>145</v>
      </c>
      <c r="F252" s="18" t="s">
        <v>181</v>
      </c>
      <c r="G252" s="18" t="s">
        <v>181</v>
      </c>
      <c r="H252" s="18" t="s">
        <v>181</v>
      </c>
      <c r="I252" s="18" t="s">
        <v>179</v>
      </c>
      <c r="J252" s="18" t="s">
        <v>184</v>
      </c>
      <c r="K252" s="18" t="s">
        <v>181</v>
      </c>
      <c r="L252" s="18" t="s">
        <v>181</v>
      </c>
      <c r="M252" s="19" t="s">
        <v>178</v>
      </c>
      <c r="N252" s="19" t="s">
        <v>178</v>
      </c>
      <c r="O252" s="18" t="s">
        <v>184</v>
      </c>
      <c r="P252" s="18" t="s">
        <v>176</v>
      </c>
      <c r="Q252" s="18" t="s">
        <v>181</v>
      </c>
      <c r="R252" s="19" t="s">
        <v>178</v>
      </c>
      <c r="S252" s="18" t="s">
        <v>181</v>
      </c>
      <c r="T252" s="19" t="s">
        <v>178</v>
      </c>
      <c r="U252" s="18" t="s">
        <v>181</v>
      </c>
      <c r="V252" s="19" t="s">
        <v>178</v>
      </c>
      <c r="W252" s="18" t="s">
        <v>176</v>
      </c>
      <c r="X252" s="18" t="s">
        <v>181</v>
      </c>
      <c r="Y252" s="19" t="s">
        <v>178</v>
      </c>
      <c r="Z252" s="19" t="s">
        <v>178</v>
      </c>
      <c r="AL252" t="str">
        <f>IFERROR(_xlfn.XLOOKUP(E252, Branches!$B$2:$B$100, Branches!$C$2:$C$100, "خطأ في الكود"), "")</f>
        <v>Zayed Al Subaie</v>
      </c>
    </row>
    <row r="253" spans="1:38">
      <c r="A253" s="14" t="s">
        <v>366</v>
      </c>
      <c r="B253" s="14">
        <v>80031805</v>
      </c>
      <c r="C253" s="14">
        <v>80031805</v>
      </c>
      <c r="D253" s="18" t="s">
        <v>30</v>
      </c>
      <c r="E253" s="18" t="s">
        <v>77</v>
      </c>
      <c r="F253" s="14" t="s">
        <v>192</v>
      </c>
      <c r="G253" s="14" t="s">
        <v>192</v>
      </c>
      <c r="H253" s="14" t="s">
        <v>175</v>
      </c>
      <c r="I253" s="19" t="s">
        <v>178</v>
      </c>
      <c r="J253" s="14" t="s">
        <v>192</v>
      </c>
      <c r="K253" s="14" t="s">
        <v>192</v>
      </c>
      <c r="L253" s="14" t="s">
        <v>192</v>
      </c>
      <c r="M253" s="14" t="s">
        <v>192</v>
      </c>
      <c r="N253" s="14" t="s">
        <v>192</v>
      </c>
      <c r="O253" s="14" t="s">
        <v>175</v>
      </c>
      <c r="P253" s="14" t="s">
        <v>179</v>
      </c>
      <c r="Q253" s="14" t="s">
        <v>192</v>
      </c>
      <c r="R253" s="14" t="s">
        <v>192</v>
      </c>
      <c r="S253" s="14" t="s">
        <v>192</v>
      </c>
      <c r="T253" s="14" t="s">
        <v>192</v>
      </c>
      <c r="U253" s="14" t="s">
        <v>192</v>
      </c>
      <c r="V253" s="14" t="s">
        <v>192</v>
      </c>
      <c r="W253" s="14" t="s">
        <v>179</v>
      </c>
      <c r="X253" s="14" t="s">
        <v>192</v>
      </c>
      <c r="Y253" s="14" t="s">
        <v>192</v>
      </c>
      <c r="Z253" s="14" t="s">
        <v>192</v>
      </c>
      <c r="AL253" t="str">
        <f>IFERROR(_xlfn.XLOOKUP(E253, Branches!$B$2:$B$100, Branches!$C$2:$C$100, "خطأ في الكود"), "")</f>
        <v>Bandar Garziz</v>
      </c>
    </row>
    <row r="254" spans="1:38">
      <c r="A254" s="18" t="s">
        <v>367</v>
      </c>
      <c r="B254" s="18">
        <v>80126497</v>
      </c>
      <c r="C254" s="18">
        <v>80126497</v>
      </c>
      <c r="D254" s="18" t="s">
        <v>18</v>
      </c>
      <c r="E254" s="18" t="s">
        <v>127</v>
      </c>
      <c r="F254" s="18" t="s">
        <v>181</v>
      </c>
      <c r="G254" s="18" t="s">
        <v>181</v>
      </c>
      <c r="H254" s="18" t="s">
        <v>176</v>
      </c>
      <c r="I254" s="18" t="s">
        <v>181</v>
      </c>
      <c r="J254" s="18" t="s">
        <v>181</v>
      </c>
      <c r="K254" s="18" t="s">
        <v>181</v>
      </c>
      <c r="L254" s="19" t="s">
        <v>178</v>
      </c>
      <c r="M254" s="18" t="s">
        <v>181</v>
      </c>
      <c r="N254" s="18" t="s">
        <v>181</v>
      </c>
      <c r="O254" s="18" t="s">
        <v>176</v>
      </c>
      <c r="P254" s="18" t="s">
        <v>181</v>
      </c>
      <c r="Q254" s="18" t="s">
        <v>181</v>
      </c>
      <c r="R254" s="19" t="s">
        <v>178</v>
      </c>
      <c r="S254" s="19" t="s">
        <v>178</v>
      </c>
      <c r="T254" s="18" t="s">
        <v>181</v>
      </c>
      <c r="U254" s="18" t="s">
        <v>181</v>
      </c>
      <c r="V254" s="18" t="s">
        <v>176</v>
      </c>
      <c r="W254" s="19" t="s">
        <v>178</v>
      </c>
      <c r="X254" s="19" t="s">
        <v>178</v>
      </c>
      <c r="Y254" s="18" t="s">
        <v>181</v>
      </c>
      <c r="Z254" s="15" t="s">
        <v>180</v>
      </c>
      <c r="AL254" t="str">
        <f>IFERROR(_xlfn.XLOOKUP(E254, Branches!$B$2:$B$100, Branches!$C$2:$C$100, "خطأ في الكود"), "")</f>
        <v>Zayed Al Subaie</v>
      </c>
    </row>
    <row r="255" spans="1:38">
      <c r="A255" s="14" t="s">
        <v>368</v>
      </c>
      <c r="B255" s="14">
        <v>80128868</v>
      </c>
      <c r="C255" s="14">
        <v>80128868</v>
      </c>
      <c r="D255" s="18" t="s">
        <v>30</v>
      </c>
      <c r="E255" s="18" t="s">
        <v>57</v>
      </c>
      <c r="F255" s="14" t="s">
        <v>175</v>
      </c>
      <c r="G255" s="14" t="s">
        <v>175</v>
      </c>
      <c r="H255" s="14" t="s">
        <v>175</v>
      </c>
      <c r="I255" s="14" t="s">
        <v>179</v>
      </c>
      <c r="J255" s="14" t="s">
        <v>175</v>
      </c>
      <c r="K255" s="14" t="s">
        <v>175</v>
      </c>
      <c r="L255" s="14" t="s">
        <v>175</v>
      </c>
      <c r="M255" s="14" t="s">
        <v>175</v>
      </c>
      <c r="N255" s="19" t="s">
        <v>177</v>
      </c>
      <c r="O255" s="14" t="s">
        <v>175</v>
      </c>
      <c r="P255" s="14" t="s">
        <v>179</v>
      </c>
      <c r="Q255" s="14" t="s">
        <v>175</v>
      </c>
      <c r="R255" s="14" t="s">
        <v>175</v>
      </c>
      <c r="S255" s="14" t="s">
        <v>175</v>
      </c>
      <c r="T255" s="14" t="s">
        <v>175</v>
      </c>
      <c r="U255" s="14" t="s">
        <v>175</v>
      </c>
      <c r="V255" s="14" t="s">
        <v>175</v>
      </c>
      <c r="W255" s="14" t="s">
        <v>179</v>
      </c>
      <c r="X255" s="14" t="s">
        <v>175</v>
      </c>
      <c r="Y255" s="14" t="s">
        <v>175</v>
      </c>
      <c r="Z255" s="19" t="s">
        <v>177</v>
      </c>
      <c r="AL255" t="str">
        <f>IFERROR(_xlfn.XLOOKUP(E255, Branches!$B$2:$B$100, Branches!$C$2:$C$100, "خطأ في الكود"), "")</f>
        <v>Abdul Rahman Mohsen Al Enzi</v>
      </c>
    </row>
    <row r="256" spans="1:38">
      <c r="A256" s="18" t="s">
        <v>446</v>
      </c>
      <c r="B256" s="18">
        <v>80130364</v>
      </c>
      <c r="C256" s="18">
        <v>80130364</v>
      </c>
      <c r="D256" s="18" t="e">
        <v>#N/A</v>
      </c>
      <c r="E256" s="18" t="e">
        <v>#N/A</v>
      </c>
      <c r="F256" s="15" t="s">
        <v>189</v>
      </c>
      <c r="G256" s="15" t="s">
        <v>189</v>
      </c>
      <c r="H256" s="15" t="s">
        <v>189</v>
      </c>
      <c r="I256" s="18" t="s">
        <v>176</v>
      </c>
      <c r="J256" s="18" t="s">
        <v>176</v>
      </c>
      <c r="K256" s="15" t="s">
        <v>189</v>
      </c>
      <c r="L256" s="15" t="s">
        <v>189</v>
      </c>
      <c r="M256" s="15" t="s">
        <v>189</v>
      </c>
      <c r="N256" s="15" t="s">
        <v>189</v>
      </c>
      <c r="O256" s="15" t="s">
        <v>189</v>
      </c>
      <c r="P256" s="18" t="s">
        <v>176</v>
      </c>
      <c r="Q256" s="18" t="s">
        <v>176</v>
      </c>
      <c r="R256" s="15" t="s">
        <v>189</v>
      </c>
      <c r="S256" s="15" t="s">
        <v>189</v>
      </c>
      <c r="T256" s="15" t="s">
        <v>189</v>
      </c>
      <c r="U256" s="15" t="s">
        <v>189</v>
      </c>
      <c r="V256" s="15" t="s">
        <v>189</v>
      </c>
      <c r="W256" s="18" t="s">
        <v>176</v>
      </c>
      <c r="X256" s="18" t="s">
        <v>176</v>
      </c>
      <c r="Y256" s="15" t="s">
        <v>189</v>
      </c>
      <c r="Z256" s="15" t="s">
        <v>189</v>
      </c>
      <c r="AL256" t="str">
        <f>IFERROR(_xlfn.XLOOKUP(E256, Branches!$B$2:$B$100, Branches!$C$2:$C$100, "خطأ في الكود"), "")</f>
        <v/>
      </c>
    </row>
    <row r="257" spans="1:38">
      <c r="A257" s="14" t="s">
        <v>369</v>
      </c>
      <c r="B257" s="14">
        <v>80121233</v>
      </c>
      <c r="C257" s="14">
        <v>80121233</v>
      </c>
      <c r="D257" s="18" t="s">
        <v>30</v>
      </c>
      <c r="E257" s="18" t="s">
        <v>101</v>
      </c>
      <c r="F257" s="19" t="s">
        <v>177</v>
      </c>
      <c r="G257" s="14" t="s">
        <v>175</v>
      </c>
      <c r="H257" s="14" t="s">
        <v>175</v>
      </c>
      <c r="I257" s="14" t="s">
        <v>181</v>
      </c>
      <c r="J257" s="14" t="s">
        <v>176</v>
      </c>
      <c r="K257" s="19" t="s">
        <v>177</v>
      </c>
      <c r="L257" s="14" t="s">
        <v>175</v>
      </c>
      <c r="M257" s="14" t="s">
        <v>175</v>
      </c>
      <c r="N257" s="19" t="s">
        <v>177</v>
      </c>
      <c r="O257" s="14" t="s">
        <v>175</v>
      </c>
      <c r="P257" s="15" t="s">
        <v>180</v>
      </c>
      <c r="Q257" s="14" t="s">
        <v>176</v>
      </c>
      <c r="R257" s="15" t="s">
        <v>189</v>
      </c>
      <c r="S257" s="15" t="s">
        <v>189</v>
      </c>
      <c r="T257" s="15" t="s">
        <v>189</v>
      </c>
      <c r="U257" s="15" t="s">
        <v>189</v>
      </c>
      <c r="V257" s="15" t="s">
        <v>189</v>
      </c>
      <c r="W257" s="15" t="s">
        <v>180</v>
      </c>
      <c r="X257" s="14" t="s">
        <v>176</v>
      </c>
      <c r="Y257" s="15" t="s">
        <v>189</v>
      </c>
      <c r="Z257" s="15" t="s">
        <v>189</v>
      </c>
      <c r="AL257" t="str">
        <f>IFERROR(_xlfn.XLOOKUP(E257, Branches!$B$2:$B$100, Branches!$C$2:$C$100, "خطأ في الكود"), "")</f>
        <v>Abdul Rahman Mohsen Al Enzi</v>
      </c>
    </row>
    <row r="258" spans="1:38">
      <c r="A258" s="18" t="s">
        <v>370</v>
      </c>
      <c r="B258" s="18">
        <v>80124487</v>
      </c>
      <c r="C258" s="18">
        <v>80124487</v>
      </c>
      <c r="D258" s="18" t="s">
        <v>18</v>
      </c>
      <c r="E258" s="18" t="s">
        <v>137</v>
      </c>
      <c r="F258" s="18" t="s">
        <v>181</v>
      </c>
      <c r="G258" s="18" t="s">
        <v>181</v>
      </c>
      <c r="H258" s="18" t="s">
        <v>181</v>
      </c>
      <c r="I258" s="18" t="s">
        <v>181</v>
      </c>
      <c r="J258" s="18" t="s">
        <v>176</v>
      </c>
      <c r="K258" s="18" t="s">
        <v>181</v>
      </c>
      <c r="L258" s="18" t="s">
        <v>181</v>
      </c>
      <c r="M258" s="18" t="s">
        <v>181</v>
      </c>
      <c r="N258" s="18" t="s">
        <v>181</v>
      </c>
      <c r="O258" s="15" t="s">
        <v>180</v>
      </c>
      <c r="P258" s="18" t="s">
        <v>181</v>
      </c>
      <c r="Q258" s="18" t="s">
        <v>176</v>
      </c>
      <c r="R258" s="18" t="s">
        <v>181</v>
      </c>
      <c r="S258" s="18" t="s">
        <v>181</v>
      </c>
      <c r="T258" s="18" t="s">
        <v>181</v>
      </c>
      <c r="U258" s="19" t="s">
        <v>178</v>
      </c>
      <c r="V258" s="18" t="s">
        <v>181</v>
      </c>
      <c r="W258" s="18" t="s">
        <v>181</v>
      </c>
      <c r="X258" s="18" t="s">
        <v>176</v>
      </c>
      <c r="Y258" s="18" t="s">
        <v>181</v>
      </c>
      <c r="Z258" s="18" t="s">
        <v>181</v>
      </c>
      <c r="AL258" t="str">
        <f>IFERROR(_xlfn.XLOOKUP(E258, Branches!$B$2:$B$100, Branches!$C$2:$C$100, "خطأ في الكود"), "")</f>
        <v>Zayed Al Subaie</v>
      </c>
    </row>
    <row r="259" spans="1:38">
      <c r="A259" s="14" t="s">
        <v>371</v>
      </c>
      <c r="B259" s="14">
        <v>80124488</v>
      </c>
      <c r="C259" s="14">
        <v>80124488</v>
      </c>
      <c r="D259" s="18" t="s">
        <v>46</v>
      </c>
      <c r="E259" s="18" t="s">
        <v>151</v>
      </c>
      <c r="F259" s="14" t="s">
        <v>181</v>
      </c>
      <c r="G259" s="14" t="s">
        <v>181</v>
      </c>
      <c r="H259" s="14" t="s">
        <v>181</v>
      </c>
      <c r="I259" s="14" t="s">
        <v>176</v>
      </c>
      <c r="J259" s="14" t="s">
        <v>184</v>
      </c>
      <c r="K259" s="14" t="s">
        <v>184</v>
      </c>
      <c r="L259" s="14" t="s">
        <v>184</v>
      </c>
      <c r="M259" s="14" t="s">
        <v>184</v>
      </c>
      <c r="N259" s="14" t="s">
        <v>184</v>
      </c>
      <c r="O259" s="14" t="s">
        <v>184</v>
      </c>
      <c r="P259" s="14" t="s">
        <v>176</v>
      </c>
      <c r="Q259" s="19" t="s">
        <v>177</v>
      </c>
      <c r="R259" s="19" t="s">
        <v>177</v>
      </c>
      <c r="S259" s="19" t="s">
        <v>177</v>
      </c>
      <c r="T259" s="19" t="s">
        <v>177</v>
      </c>
      <c r="U259" s="19" t="s">
        <v>177</v>
      </c>
      <c r="V259" s="19" t="s">
        <v>177</v>
      </c>
      <c r="W259" s="14" t="s">
        <v>176</v>
      </c>
      <c r="X259" s="19" t="s">
        <v>177</v>
      </c>
      <c r="Y259" s="19" t="s">
        <v>177</v>
      </c>
      <c r="Z259" s="19" t="s">
        <v>177</v>
      </c>
      <c r="AL259" t="str">
        <f>IFERROR(_xlfn.XLOOKUP(E259, Branches!$B$2:$B$100, Branches!$C$2:$C$100, "خطأ في الكود"), "")</f>
        <v>Musab Hakami</v>
      </c>
    </row>
    <row r="260" spans="1:38">
      <c r="A260" s="18" t="s">
        <v>372</v>
      </c>
      <c r="B260" s="18">
        <v>80128533</v>
      </c>
      <c r="C260" s="18">
        <v>80128533</v>
      </c>
      <c r="D260" s="18" t="s">
        <v>18</v>
      </c>
      <c r="E260" s="18" t="s">
        <v>25</v>
      </c>
      <c r="F260" s="18" t="s">
        <v>175</v>
      </c>
      <c r="G260" s="18" t="s">
        <v>175</v>
      </c>
      <c r="H260" s="18" t="s">
        <v>175</v>
      </c>
      <c r="I260" s="18" t="s">
        <v>176</v>
      </c>
      <c r="J260" s="19" t="s">
        <v>177</v>
      </c>
      <c r="K260" s="18" t="s">
        <v>175</v>
      </c>
      <c r="L260" s="18" t="s">
        <v>175</v>
      </c>
      <c r="M260" s="18" t="s">
        <v>175</v>
      </c>
      <c r="N260" s="18" t="s">
        <v>184</v>
      </c>
      <c r="O260" s="18" t="s">
        <v>176</v>
      </c>
      <c r="P260" s="18" t="s">
        <v>181</v>
      </c>
      <c r="Q260" s="18" t="s">
        <v>175</v>
      </c>
      <c r="R260" s="18" t="s">
        <v>175</v>
      </c>
      <c r="S260" s="18" t="s">
        <v>175</v>
      </c>
      <c r="T260" s="18" t="s">
        <v>175</v>
      </c>
      <c r="U260" s="18" t="s">
        <v>181</v>
      </c>
      <c r="V260" s="18" t="s">
        <v>176</v>
      </c>
      <c r="W260" s="18" t="s">
        <v>181</v>
      </c>
      <c r="X260" s="18" t="s">
        <v>181</v>
      </c>
      <c r="Y260" s="18" t="s">
        <v>181</v>
      </c>
      <c r="Z260" s="18" t="s">
        <v>181</v>
      </c>
      <c r="AL260" t="str">
        <f>IFERROR(_xlfn.XLOOKUP(E260, Branches!$B$2:$B$100, Branches!$C$2:$C$100, "خطأ في الكود"), "")</f>
        <v>Zayed Al Subaie</v>
      </c>
    </row>
    <row r="261" spans="1:38">
      <c r="A261" s="14" t="s">
        <v>373</v>
      </c>
      <c r="B261" s="14">
        <v>80128871</v>
      </c>
      <c r="C261" s="14">
        <v>80128871</v>
      </c>
      <c r="D261" s="18" t="s">
        <v>46</v>
      </c>
      <c r="E261" s="18" t="s">
        <v>161</v>
      </c>
      <c r="F261" s="19" t="s">
        <v>178</v>
      </c>
      <c r="G261" s="19" t="s">
        <v>178</v>
      </c>
      <c r="H261" s="14" t="s">
        <v>176</v>
      </c>
      <c r="I261" s="14" t="s">
        <v>181</v>
      </c>
      <c r="J261" s="19" t="s">
        <v>178</v>
      </c>
      <c r="K261" s="14" t="s">
        <v>181</v>
      </c>
      <c r="L261" s="14" t="s">
        <v>181</v>
      </c>
      <c r="M261" s="14" t="s">
        <v>181</v>
      </c>
      <c r="N261" s="14" t="s">
        <v>181</v>
      </c>
      <c r="O261" s="14" t="s">
        <v>176</v>
      </c>
      <c r="P261" s="14" t="s">
        <v>181</v>
      </c>
      <c r="Q261" s="14" t="s">
        <v>181</v>
      </c>
      <c r="R261" s="14" t="s">
        <v>181</v>
      </c>
      <c r="S261" s="19" t="s">
        <v>178</v>
      </c>
      <c r="T261" s="14" t="s">
        <v>181</v>
      </c>
      <c r="U261" s="19" t="s">
        <v>178</v>
      </c>
      <c r="V261" s="14" t="s">
        <v>176</v>
      </c>
      <c r="W261" s="14" t="s">
        <v>181</v>
      </c>
      <c r="X261" s="14" t="s">
        <v>181</v>
      </c>
      <c r="Y261" s="14" t="s">
        <v>181</v>
      </c>
      <c r="Z261" s="19" t="s">
        <v>178</v>
      </c>
      <c r="AL261" t="str">
        <f>IFERROR(_xlfn.XLOOKUP(E261, Branches!$B$2:$B$100, Branches!$C$2:$C$100, "خطأ في الكود"), "")</f>
        <v>Musab Hakami</v>
      </c>
    </row>
    <row r="262" spans="1:38">
      <c r="A262" s="18" t="s">
        <v>374</v>
      </c>
      <c r="B262" s="18">
        <v>80061519</v>
      </c>
      <c r="C262" s="18">
        <v>80061519</v>
      </c>
      <c r="D262" s="18" t="s">
        <v>18</v>
      </c>
      <c r="E262" s="18" t="s">
        <v>19</v>
      </c>
      <c r="F262" s="19" t="s">
        <v>178</v>
      </c>
      <c r="G262" s="19" t="s">
        <v>178</v>
      </c>
      <c r="H262" s="19" t="s">
        <v>178</v>
      </c>
      <c r="I262" s="19" t="s">
        <v>178</v>
      </c>
      <c r="J262" s="18" t="s">
        <v>176</v>
      </c>
      <c r="K262" s="19" t="s">
        <v>178</v>
      </c>
      <c r="L262" s="19" t="s">
        <v>178</v>
      </c>
      <c r="M262" s="19" t="s">
        <v>178</v>
      </c>
      <c r="N262" s="19" t="s">
        <v>178</v>
      </c>
      <c r="O262" s="15" t="s">
        <v>180</v>
      </c>
      <c r="P262" s="19" t="s">
        <v>178</v>
      </c>
      <c r="Q262" s="18" t="s">
        <v>176</v>
      </c>
      <c r="R262" s="19" t="s">
        <v>178</v>
      </c>
      <c r="S262" s="19" t="s">
        <v>178</v>
      </c>
      <c r="T262" s="19" t="s">
        <v>178</v>
      </c>
      <c r="U262" s="15" t="s">
        <v>180</v>
      </c>
      <c r="V262" s="18" t="s">
        <v>181</v>
      </c>
      <c r="W262" s="19" t="s">
        <v>178</v>
      </c>
      <c r="X262" s="18" t="s">
        <v>176</v>
      </c>
      <c r="Y262" s="19" t="s">
        <v>178</v>
      </c>
      <c r="Z262" s="19" t="s">
        <v>178</v>
      </c>
      <c r="AL262" t="str">
        <f>IFERROR(_xlfn.XLOOKUP(E262, Branches!$B$2:$B$100, Branches!$C$2:$C$100, "خطأ في الكود"), "")</f>
        <v>Zayed Al Subaie</v>
      </c>
    </row>
    <row r="263" spans="1:38">
      <c r="A263" s="14" t="s">
        <v>447</v>
      </c>
      <c r="B263" s="14">
        <v>80130345</v>
      </c>
      <c r="C263" s="14">
        <v>80130345</v>
      </c>
      <c r="D263" s="18" t="e">
        <v>#N/A</v>
      </c>
      <c r="E263" s="18" t="e">
        <v>#N/A</v>
      </c>
      <c r="F263" s="14" t="s">
        <v>184</v>
      </c>
      <c r="G263" s="14" t="s">
        <v>184</v>
      </c>
      <c r="H263" s="14" t="s">
        <v>184</v>
      </c>
      <c r="I263" s="14" t="s">
        <v>184</v>
      </c>
      <c r="J263" s="14" t="s">
        <v>184</v>
      </c>
      <c r="K263" s="14" t="s">
        <v>184</v>
      </c>
      <c r="L263" s="14" t="s">
        <v>184</v>
      </c>
      <c r="M263" s="14" t="s">
        <v>184</v>
      </c>
      <c r="N263" s="14" t="s">
        <v>184</v>
      </c>
      <c r="O263" s="14" t="s">
        <v>184</v>
      </c>
      <c r="P263" s="14" t="s">
        <v>184</v>
      </c>
      <c r="Q263" s="14" t="s">
        <v>184</v>
      </c>
      <c r="R263" s="14" t="s">
        <v>184</v>
      </c>
      <c r="S263" s="14" t="s">
        <v>184</v>
      </c>
      <c r="T263" s="14" t="s">
        <v>184</v>
      </c>
      <c r="U263" s="14" t="s">
        <v>184</v>
      </c>
      <c r="V263" s="14" t="s">
        <v>184</v>
      </c>
      <c r="W263" s="14" t="s">
        <v>184</v>
      </c>
      <c r="X263" s="14" t="s">
        <v>184</v>
      </c>
      <c r="Y263" s="15" t="s">
        <v>189</v>
      </c>
      <c r="Z263" s="19" t="s">
        <v>177</v>
      </c>
      <c r="AL263" t="str">
        <f>IFERROR(_xlfn.XLOOKUP(E263, Branches!$B$2:$B$100, Branches!$C$2:$C$100, "خطأ في الكود"), "")</f>
        <v/>
      </c>
    </row>
    <row r="264" spans="1:38">
      <c r="A264" s="18" t="s">
        <v>375</v>
      </c>
      <c r="B264" s="18">
        <v>80065860</v>
      </c>
      <c r="C264" s="18">
        <v>80065860</v>
      </c>
      <c r="D264" s="18" t="s">
        <v>30</v>
      </c>
      <c r="E264" s="18" t="s">
        <v>105</v>
      </c>
      <c r="F264" s="19" t="s">
        <v>177</v>
      </c>
      <c r="G264" s="19" t="s">
        <v>177</v>
      </c>
      <c r="H264" s="19" t="s">
        <v>177</v>
      </c>
      <c r="I264" s="18" t="s">
        <v>176</v>
      </c>
      <c r="J264" s="18" t="s">
        <v>184</v>
      </c>
      <c r="K264" s="18" t="s">
        <v>184</v>
      </c>
      <c r="L264" s="18" t="s">
        <v>184</v>
      </c>
      <c r="M264" s="18" t="s">
        <v>184</v>
      </c>
      <c r="N264" s="18" t="s">
        <v>184</v>
      </c>
      <c r="O264" s="18" t="s">
        <v>184</v>
      </c>
      <c r="P264" s="18" t="s">
        <v>184</v>
      </c>
      <c r="Q264" s="18" t="s">
        <v>184</v>
      </c>
      <c r="R264" s="18" t="s">
        <v>184</v>
      </c>
      <c r="S264" s="18" t="s">
        <v>184</v>
      </c>
      <c r="T264" s="18" t="s">
        <v>184</v>
      </c>
      <c r="U264" s="18" t="s">
        <v>184</v>
      </c>
      <c r="V264" s="18" t="s">
        <v>184</v>
      </c>
      <c r="W264" s="18" t="s">
        <v>184</v>
      </c>
      <c r="X264" s="18" t="s">
        <v>184</v>
      </c>
      <c r="Y264" s="18" t="s">
        <v>184</v>
      </c>
      <c r="Z264" s="18" t="s">
        <v>184</v>
      </c>
      <c r="AL264" t="str">
        <f>IFERROR(_xlfn.XLOOKUP(E264, Branches!$B$2:$B$100, Branches!$C$2:$C$100, "خطأ في الكود"), "")</f>
        <v>Bandar Garziz</v>
      </c>
    </row>
    <row r="265" spans="1:38">
      <c r="A265" s="14" t="s">
        <v>376</v>
      </c>
      <c r="B265" s="14">
        <v>80019625</v>
      </c>
      <c r="C265" s="14">
        <v>80019625</v>
      </c>
      <c r="D265" s="18" t="s">
        <v>18</v>
      </c>
      <c r="E265" s="18" t="s">
        <v>113</v>
      </c>
      <c r="F265" s="14" t="s">
        <v>181</v>
      </c>
      <c r="G265" s="14" t="s">
        <v>181</v>
      </c>
      <c r="H265" s="14" t="s">
        <v>181</v>
      </c>
      <c r="I265" s="14" t="s">
        <v>181</v>
      </c>
      <c r="J265" s="14" t="s">
        <v>179</v>
      </c>
      <c r="K265" s="14" t="s">
        <v>181</v>
      </c>
      <c r="L265" s="14" t="s">
        <v>181</v>
      </c>
      <c r="M265" s="14" t="s">
        <v>181</v>
      </c>
      <c r="N265" s="14" t="s">
        <v>181</v>
      </c>
      <c r="O265" s="14" t="s">
        <v>181</v>
      </c>
      <c r="P265" s="14" t="s">
        <v>181</v>
      </c>
      <c r="Q265" s="14" t="s">
        <v>176</v>
      </c>
      <c r="R265" s="14" t="s">
        <v>181</v>
      </c>
      <c r="S265" s="14" t="s">
        <v>181</v>
      </c>
      <c r="T265" s="14" t="s">
        <v>181</v>
      </c>
      <c r="U265" s="14" t="s">
        <v>181</v>
      </c>
      <c r="V265" s="19" t="s">
        <v>178</v>
      </c>
      <c r="W265" s="19" t="s">
        <v>178</v>
      </c>
      <c r="X265" s="14" t="s">
        <v>176</v>
      </c>
      <c r="Y265" s="14" t="s">
        <v>181</v>
      </c>
      <c r="Z265" s="14" t="s">
        <v>181</v>
      </c>
      <c r="AL265" t="str">
        <f>IFERROR(_xlfn.XLOOKUP(E265, Branches!$B$2:$B$100, Branches!$C$2:$C$100, "خطأ في الكود"), "")</f>
        <v>Zayed Al Subaie</v>
      </c>
    </row>
    <row r="266" spans="1:38">
      <c r="A266" s="18" t="s">
        <v>377</v>
      </c>
      <c r="B266" s="18">
        <v>80113287</v>
      </c>
      <c r="C266" s="18">
        <v>80113287</v>
      </c>
      <c r="D266" s="18" t="s">
        <v>46</v>
      </c>
      <c r="E266" s="18" t="s">
        <v>49</v>
      </c>
      <c r="F266" s="18" t="s">
        <v>378</v>
      </c>
      <c r="G266" s="18" t="s">
        <v>378</v>
      </c>
      <c r="H266" s="18" t="s">
        <v>181</v>
      </c>
      <c r="I266" s="18" t="s">
        <v>176</v>
      </c>
      <c r="J266" s="18" t="s">
        <v>181</v>
      </c>
      <c r="K266" s="18" t="s">
        <v>181</v>
      </c>
      <c r="L266" s="18" t="s">
        <v>181</v>
      </c>
      <c r="M266" s="18" t="s">
        <v>181</v>
      </c>
      <c r="N266" s="18" t="s">
        <v>181</v>
      </c>
      <c r="O266" s="18" t="s">
        <v>176</v>
      </c>
      <c r="P266" s="18" t="s">
        <v>181</v>
      </c>
      <c r="Q266" s="18" t="s">
        <v>181</v>
      </c>
      <c r="R266" s="18" t="s">
        <v>181</v>
      </c>
      <c r="S266" s="18" t="s">
        <v>181</v>
      </c>
      <c r="T266" s="18" t="s">
        <v>181</v>
      </c>
      <c r="U266" s="18" t="s">
        <v>192</v>
      </c>
      <c r="V266" s="18" t="s">
        <v>175</v>
      </c>
      <c r="W266" s="18" t="s">
        <v>176</v>
      </c>
      <c r="X266" s="18" t="s">
        <v>175</v>
      </c>
      <c r="Y266" s="15" t="s">
        <v>189</v>
      </c>
      <c r="Z266" s="15" t="s">
        <v>189</v>
      </c>
      <c r="AL266" t="str">
        <f>IFERROR(_xlfn.XLOOKUP(E266, Branches!$B$2:$B$100, Branches!$C$2:$C$100, "خطأ في الكود"), "")</f>
        <v>Musab Hakami</v>
      </c>
    </row>
    <row r="267" spans="1:38">
      <c r="A267" s="14" t="s">
        <v>379</v>
      </c>
      <c r="B267" s="14">
        <v>80128586</v>
      </c>
      <c r="C267" s="14">
        <v>80128586</v>
      </c>
      <c r="D267" s="18" t="s">
        <v>46</v>
      </c>
      <c r="E267" s="18" t="s">
        <v>119</v>
      </c>
      <c r="F267" s="14" t="s">
        <v>181</v>
      </c>
      <c r="G267" s="14" t="s">
        <v>181</v>
      </c>
      <c r="H267" s="14" t="s">
        <v>181</v>
      </c>
      <c r="I267" s="14" t="s">
        <v>181</v>
      </c>
      <c r="J267" s="14" t="s">
        <v>176</v>
      </c>
      <c r="K267" s="14" t="s">
        <v>175</v>
      </c>
      <c r="L267" s="14" t="s">
        <v>175</v>
      </c>
      <c r="M267" s="14" t="s">
        <v>175</v>
      </c>
      <c r="N267" s="19" t="s">
        <v>177</v>
      </c>
      <c r="O267" s="15" t="s">
        <v>180</v>
      </c>
      <c r="P267" s="15" t="s">
        <v>180</v>
      </c>
      <c r="Q267" s="14" t="s">
        <v>176</v>
      </c>
      <c r="R267" s="14" t="s">
        <v>181</v>
      </c>
      <c r="S267" s="14" t="s">
        <v>181</v>
      </c>
      <c r="T267" s="14" t="s">
        <v>181</v>
      </c>
      <c r="U267" s="14" t="s">
        <v>181</v>
      </c>
      <c r="V267" s="14" t="s">
        <v>181</v>
      </c>
      <c r="W267" s="14" t="s">
        <v>181</v>
      </c>
      <c r="X267" s="14" t="s">
        <v>176</v>
      </c>
      <c r="Y267" s="14" t="s">
        <v>175</v>
      </c>
      <c r="Z267" s="14" t="s">
        <v>175</v>
      </c>
      <c r="AL267" t="str">
        <f>IFERROR(_xlfn.XLOOKUP(E267, Branches!$B$2:$B$100, Branches!$C$2:$C$100, "خطأ في الكود"), "")</f>
        <v>Musab Hakami</v>
      </c>
    </row>
    <row r="268" spans="1:38">
      <c r="A268" s="18" t="s">
        <v>380</v>
      </c>
      <c r="B268" s="18">
        <v>80025064</v>
      </c>
      <c r="C268" s="18">
        <v>80025064</v>
      </c>
      <c r="D268" s="18" t="s">
        <v>46</v>
      </c>
      <c r="E268" s="18" t="s">
        <v>159</v>
      </c>
      <c r="F268" s="18" t="s">
        <v>184</v>
      </c>
      <c r="G268" s="18" t="s">
        <v>184</v>
      </c>
      <c r="H268" s="18" t="s">
        <v>184</v>
      </c>
      <c r="I268" s="18" t="s">
        <v>184</v>
      </c>
      <c r="J268" s="18" t="s">
        <v>184</v>
      </c>
      <c r="K268" s="18" t="s">
        <v>184</v>
      </c>
      <c r="L268" s="18" t="s">
        <v>182</v>
      </c>
      <c r="M268" s="18" t="s">
        <v>175</v>
      </c>
      <c r="N268" s="18" t="s">
        <v>181</v>
      </c>
      <c r="O268" s="18" t="s">
        <v>175</v>
      </c>
      <c r="P268" s="18" t="s">
        <v>176</v>
      </c>
      <c r="Q268" s="18" t="s">
        <v>181</v>
      </c>
      <c r="R268" s="18" t="s">
        <v>181</v>
      </c>
      <c r="S268" s="18" t="s">
        <v>181</v>
      </c>
      <c r="T268" s="18" t="s">
        <v>181</v>
      </c>
      <c r="U268" s="18" t="s">
        <v>181</v>
      </c>
      <c r="V268" s="18" t="s">
        <v>181</v>
      </c>
      <c r="W268" s="18" t="s">
        <v>181</v>
      </c>
      <c r="X268" s="18" t="s">
        <v>176</v>
      </c>
      <c r="Y268" s="18" t="s">
        <v>175</v>
      </c>
      <c r="Z268" s="18" t="s">
        <v>175</v>
      </c>
      <c r="AL268" t="str">
        <f>IFERROR(_xlfn.XLOOKUP(E268, Branches!$B$2:$B$100, Branches!$C$2:$C$100, "خطأ في الكود"), "")</f>
        <v>Musab Hakami</v>
      </c>
    </row>
    <row r="269" spans="1:38">
      <c r="A269" s="14" t="s">
        <v>381</v>
      </c>
      <c r="B269" s="14">
        <v>80022889</v>
      </c>
      <c r="C269" s="14">
        <v>80022889</v>
      </c>
      <c r="D269" s="18" t="s">
        <v>18</v>
      </c>
      <c r="E269" s="18" t="s">
        <v>143</v>
      </c>
      <c r="F269" s="19" t="s">
        <v>178</v>
      </c>
      <c r="G269" s="14" t="s">
        <v>184</v>
      </c>
      <c r="H269" s="14" t="s">
        <v>184</v>
      </c>
      <c r="I269" s="14" t="s">
        <v>184</v>
      </c>
      <c r="J269" s="14" t="s">
        <v>184</v>
      </c>
      <c r="K269" s="14" t="s">
        <v>181</v>
      </c>
      <c r="L269" s="19" t="s">
        <v>178</v>
      </c>
      <c r="M269" s="19" t="s">
        <v>178</v>
      </c>
      <c r="N269" s="14" t="s">
        <v>181</v>
      </c>
      <c r="O269" s="14" t="s">
        <v>181</v>
      </c>
      <c r="P269" s="14" t="s">
        <v>176</v>
      </c>
      <c r="Q269" s="14" t="s">
        <v>277</v>
      </c>
      <c r="R269" s="14" t="s">
        <v>181</v>
      </c>
      <c r="S269" s="19" t="s">
        <v>178</v>
      </c>
      <c r="T269" s="19" t="s">
        <v>178</v>
      </c>
      <c r="U269" s="14" t="s">
        <v>181</v>
      </c>
      <c r="V269" s="14" t="s">
        <v>181</v>
      </c>
      <c r="W269" s="14" t="s">
        <v>176</v>
      </c>
      <c r="X269" s="14" t="s">
        <v>181</v>
      </c>
      <c r="Y269" s="14" t="s">
        <v>181</v>
      </c>
      <c r="Z269" s="19" t="s">
        <v>178</v>
      </c>
      <c r="AL269" t="str">
        <f>IFERROR(_xlfn.XLOOKUP(E269, Branches!$B$2:$B$100, Branches!$C$2:$C$100, "خطأ في الكود"), "")</f>
        <v>Zayed Al Subaie</v>
      </c>
    </row>
    <row r="270" spans="1:38">
      <c r="A270" s="18" t="s">
        <v>382</v>
      </c>
      <c r="B270" s="18">
        <v>80121220</v>
      </c>
      <c r="C270" s="18">
        <v>80121220</v>
      </c>
      <c r="D270" s="18" t="s">
        <v>30</v>
      </c>
      <c r="E270" s="18" t="s">
        <v>169</v>
      </c>
      <c r="F270" s="18" t="s">
        <v>181</v>
      </c>
      <c r="G270" s="18" t="s">
        <v>181</v>
      </c>
      <c r="H270" s="18" t="s">
        <v>181</v>
      </c>
      <c r="I270" s="18" t="s">
        <v>176</v>
      </c>
      <c r="J270" s="18" t="s">
        <v>181</v>
      </c>
      <c r="K270" s="18" t="s">
        <v>181</v>
      </c>
      <c r="L270" s="18" t="s">
        <v>181</v>
      </c>
      <c r="M270" s="18" t="s">
        <v>181</v>
      </c>
      <c r="N270" s="18" t="s">
        <v>181</v>
      </c>
      <c r="O270" s="18" t="s">
        <v>181</v>
      </c>
      <c r="P270" s="18" t="s">
        <v>176</v>
      </c>
      <c r="Q270" s="18" t="s">
        <v>181</v>
      </c>
      <c r="R270" s="18" t="s">
        <v>181</v>
      </c>
      <c r="S270" s="18" t="s">
        <v>181</v>
      </c>
      <c r="T270" s="18" t="s">
        <v>181</v>
      </c>
      <c r="U270" s="18" t="s">
        <v>181</v>
      </c>
      <c r="V270" s="19" t="s">
        <v>178</v>
      </c>
      <c r="W270" s="18" t="s">
        <v>176</v>
      </c>
      <c r="X270" s="18" t="s">
        <v>181</v>
      </c>
      <c r="Y270" s="18" t="s">
        <v>181</v>
      </c>
      <c r="Z270" s="19" t="s">
        <v>178</v>
      </c>
      <c r="AL270" t="str">
        <f>IFERROR(_xlfn.XLOOKUP(E270, Branches!$B$2:$B$100, Branches!$C$2:$C$100, "خطأ في الكود"), "")</f>
        <v>Bandar Garziz</v>
      </c>
    </row>
    <row r="271" spans="1:38">
      <c r="A271" s="14" t="s">
        <v>383</v>
      </c>
      <c r="B271" s="14">
        <v>80122915</v>
      </c>
      <c r="C271" s="14">
        <v>80122915</v>
      </c>
      <c r="D271" s="18" t="s">
        <v>46</v>
      </c>
      <c r="E271" s="18" t="s">
        <v>159</v>
      </c>
      <c r="F271" s="14" t="s">
        <v>181</v>
      </c>
      <c r="G271" s="14" t="s">
        <v>181</v>
      </c>
      <c r="H271" s="14" t="s">
        <v>181</v>
      </c>
      <c r="I271" s="14" t="s">
        <v>205</v>
      </c>
      <c r="J271" s="14" t="s">
        <v>176</v>
      </c>
      <c r="K271" s="14" t="s">
        <v>175</v>
      </c>
      <c r="L271" s="14" t="s">
        <v>205</v>
      </c>
      <c r="M271" s="14" t="s">
        <v>205</v>
      </c>
      <c r="N271" s="14" t="s">
        <v>184</v>
      </c>
      <c r="O271" s="14" t="s">
        <v>184</v>
      </c>
      <c r="P271" s="14" t="s">
        <v>184</v>
      </c>
      <c r="Q271" s="14" t="s">
        <v>184</v>
      </c>
      <c r="R271" s="14" t="s">
        <v>181</v>
      </c>
      <c r="S271" s="14" t="s">
        <v>181</v>
      </c>
      <c r="T271" s="14" t="s">
        <v>181</v>
      </c>
      <c r="U271" s="14" t="s">
        <v>176</v>
      </c>
      <c r="V271" s="14" t="s">
        <v>181</v>
      </c>
      <c r="W271" s="14" t="s">
        <v>181</v>
      </c>
      <c r="X271" s="14" t="s">
        <v>181</v>
      </c>
      <c r="Y271" s="19" t="s">
        <v>177</v>
      </c>
      <c r="Z271" s="14" t="s">
        <v>175</v>
      </c>
      <c r="AL271" t="str">
        <f>IFERROR(_xlfn.XLOOKUP(E271, Branches!$B$2:$B$100, Branches!$C$2:$C$100, "خطأ في الكود"), "")</f>
        <v>Musab Hakami</v>
      </c>
    </row>
    <row r="272" spans="1:38">
      <c r="A272" s="18" t="s">
        <v>384</v>
      </c>
      <c r="B272" s="18">
        <v>80127483</v>
      </c>
      <c r="C272" s="18">
        <v>80127483</v>
      </c>
      <c r="D272" s="18" t="s">
        <v>18</v>
      </c>
      <c r="E272" s="18" t="s">
        <v>25</v>
      </c>
      <c r="F272" s="19" t="s">
        <v>177</v>
      </c>
      <c r="G272" s="18" t="s">
        <v>175</v>
      </c>
      <c r="H272" s="19" t="s">
        <v>177</v>
      </c>
      <c r="I272" s="18" t="s">
        <v>176</v>
      </c>
      <c r="J272" s="18" t="s">
        <v>175</v>
      </c>
      <c r="K272" s="18" t="s">
        <v>175</v>
      </c>
      <c r="L272" s="18" t="s">
        <v>175</v>
      </c>
      <c r="M272" s="18" t="s">
        <v>175</v>
      </c>
      <c r="N272" s="19" t="s">
        <v>177</v>
      </c>
      <c r="O272" s="19" t="s">
        <v>177</v>
      </c>
      <c r="P272" s="18" t="s">
        <v>176</v>
      </c>
      <c r="Q272" s="19" t="s">
        <v>177</v>
      </c>
      <c r="R272" s="18" t="s">
        <v>175</v>
      </c>
      <c r="S272" s="19" t="s">
        <v>177</v>
      </c>
      <c r="T272" s="19" t="s">
        <v>177</v>
      </c>
      <c r="U272" s="18" t="s">
        <v>181</v>
      </c>
      <c r="V272" s="18" t="s">
        <v>181</v>
      </c>
      <c r="W272" s="18" t="s">
        <v>181</v>
      </c>
      <c r="X272" s="18" t="s">
        <v>176</v>
      </c>
      <c r="Y272" s="18" t="s">
        <v>181</v>
      </c>
      <c r="Z272" s="19" t="s">
        <v>178</v>
      </c>
      <c r="AL272" t="str">
        <f>IFERROR(_xlfn.XLOOKUP(E272, Branches!$B$2:$B$100, Branches!$C$2:$C$100, "خطأ في الكود"), "")</f>
        <v>Zayed Al Subaie</v>
      </c>
    </row>
    <row r="273" spans="1:38">
      <c r="A273" s="14" t="s">
        <v>385</v>
      </c>
      <c r="B273" s="14">
        <v>80123202</v>
      </c>
      <c r="C273" s="14">
        <v>80123202</v>
      </c>
      <c r="D273" s="18" t="s">
        <v>46</v>
      </c>
      <c r="E273" s="18" t="s">
        <v>91</v>
      </c>
      <c r="F273" s="14" t="s">
        <v>181</v>
      </c>
      <c r="G273" s="14" t="s">
        <v>175</v>
      </c>
      <c r="H273" s="14" t="s">
        <v>175</v>
      </c>
      <c r="I273" s="14" t="s">
        <v>176</v>
      </c>
      <c r="J273" s="19" t="s">
        <v>178</v>
      </c>
      <c r="K273" s="14" t="s">
        <v>181</v>
      </c>
      <c r="L273" s="14" t="s">
        <v>181</v>
      </c>
      <c r="M273" s="14" t="s">
        <v>181</v>
      </c>
      <c r="N273" s="14" t="s">
        <v>181</v>
      </c>
      <c r="O273" s="14" t="s">
        <v>181</v>
      </c>
      <c r="P273" s="14" t="s">
        <v>176</v>
      </c>
      <c r="Q273" s="14" t="s">
        <v>175</v>
      </c>
      <c r="R273" s="14" t="s">
        <v>175</v>
      </c>
      <c r="S273" s="14" t="s">
        <v>175</v>
      </c>
      <c r="T273" s="19" t="s">
        <v>177</v>
      </c>
      <c r="U273" s="14" t="s">
        <v>175</v>
      </c>
      <c r="V273" s="14" t="s">
        <v>175</v>
      </c>
      <c r="W273" s="14" t="s">
        <v>176</v>
      </c>
      <c r="X273" s="14" t="s">
        <v>181</v>
      </c>
      <c r="Y273" s="14" t="s">
        <v>181</v>
      </c>
      <c r="Z273" s="14" t="s">
        <v>181</v>
      </c>
      <c r="AL273" t="str">
        <f>IFERROR(_xlfn.XLOOKUP(E273, Branches!$B$2:$B$100, Branches!$C$2:$C$100, "خطأ في الكود"), "")</f>
        <v>Musab Hakami</v>
      </c>
    </row>
    <row r="274" spans="1:38">
      <c r="A274" s="18" t="s">
        <v>386</v>
      </c>
      <c r="B274" s="18">
        <v>80075859</v>
      </c>
      <c r="C274" s="18">
        <v>80075859</v>
      </c>
      <c r="D274" s="18" t="s">
        <v>18</v>
      </c>
      <c r="E274" s="18" t="s">
        <v>39</v>
      </c>
      <c r="F274" s="18" t="s">
        <v>181</v>
      </c>
      <c r="G274" s="18" t="s">
        <v>181</v>
      </c>
      <c r="H274" s="18" t="s">
        <v>181</v>
      </c>
      <c r="I274" s="18" t="s">
        <v>176</v>
      </c>
      <c r="J274" s="18" t="s">
        <v>175</v>
      </c>
      <c r="K274" s="18" t="s">
        <v>175</v>
      </c>
      <c r="L274" s="18" t="s">
        <v>175</v>
      </c>
      <c r="M274" s="19" t="s">
        <v>177</v>
      </c>
      <c r="N274" s="18" t="s">
        <v>175</v>
      </c>
      <c r="O274" s="18" t="s">
        <v>181</v>
      </c>
      <c r="P274" s="18" t="s">
        <v>181</v>
      </c>
      <c r="Q274" s="18" t="s">
        <v>176</v>
      </c>
      <c r="R274" s="18" t="s">
        <v>175</v>
      </c>
      <c r="S274" s="18" t="s">
        <v>175</v>
      </c>
      <c r="T274" s="18" t="s">
        <v>175</v>
      </c>
      <c r="U274" s="18" t="s">
        <v>175</v>
      </c>
      <c r="V274" s="18" t="s">
        <v>175</v>
      </c>
      <c r="W274" s="18" t="s">
        <v>176</v>
      </c>
      <c r="X274" s="18" t="s">
        <v>184</v>
      </c>
      <c r="Y274" s="18" t="s">
        <v>184</v>
      </c>
      <c r="Z274" s="18" t="s">
        <v>181</v>
      </c>
      <c r="AL274" t="str">
        <f>IFERROR(_xlfn.XLOOKUP(E274, Branches!$B$2:$B$100, Branches!$C$2:$C$100, "خطأ في الكود"), "")</f>
        <v>Othman Al Sagri</v>
      </c>
    </row>
    <row r="275" spans="1:38">
      <c r="A275" s="14" t="s">
        <v>387</v>
      </c>
      <c r="B275" s="14">
        <v>80069016</v>
      </c>
      <c r="C275" s="14">
        <v>80069016</v>
      </c>
      <c r="D275" s="18" t="s">
        <v>30</v>
      </c>
      <c r="E275" s="18" t="s">
        <v>31</v>
      </c>
      <c r="F275" s="14" t="s">
        <v>181</v>
      </c>
      <c r="G275" s="14" t="s">
        <v>181</v>
      </c>
      <c r="H275" s="14" t="s">
        <v>181</v>
      </c>
      <c r="I275" s="14" t="s">
        <v>179</v>
      </c>
      <c r="J275" s="15" t="s">
        <v>180</v>
      </c>
      <c r="K275" s="14" t="s">
        <v>181</v>
      </c>
      <c r="L275" s="14" t="s">
        <v>181</v>
      </c>
      <c r="M275" s="14" t="s">
        <v>181</v>
      </c>
      <c r="N275" s="14" t="s">
        <v>181</v>
      </c>
      <c r="O275" s="15" t="s">
        <v>180</v>
      </c>
      <c r="P275" s="14" t="s">
        <v>179</v>
      </c>
      <c r="Q275" s="15" t="s">
        <v>180</v>
      </c>
      <c r="R275" s="14" t="s">
        <v>181</v>
      </c>
      <c r="S275" s="14" t="s">
        <v>181</v>
      </c>
      <c r="T275" s="14" t="s">
        <v>181</v>
      </c>
      <c r="U275" s="14" t="s">
        <v>181</v>
      </c>
      <c r="V275" s="14" t="s">
        <v>181</v>
      </c>
      <c r="W275" s="14" t="s">
        <v>179</v>
      </c>
      <c r="X275" s="15" t="s">
        <v>180</v>
      </c>
      <c r="Y275" s="14" t="s">
        <v>181</v>
      </c>
      <c r="Z275" s="14" t="s">
        <v>181</v>
      </c>
      <c r="AL275" t="str">
        <f>IFERROR(_xlfn.XLOOKUP(E275, Branches!$B$2:$B$100, Branches!$C$2:$C$100, "خطأ في الكود"), "")</f>
        <v>Bandar Garziz</v>
      </c>
    </row>
    <row r="276" spans="1:38">
      <c r="A276" s="18" t="s">
        <v>388</v>
      </c>
      <c r="B276" s="18">
        <v>80002070</v>
      </c>
      <c r="C276" s="18">
        <v>80002070</v>
      </c>
      <c r="D276" s="18" t="s">
        <v>30</v>
      </c>
      <c r="E276" s="18" t="s">
        <v>133</v>
      </c>
      <c r="F276" s="18" t="s">
        <v>175</v>
      </c>
      <c r="G276" s="18" t="s">
        <v>175</v>
      </c>
      <c r="H276" s="18" t="s">
        <v>175</v>
      </c>
      <c r="I276" s="18" t="s">
        <v>181</v>
      </c>
      <c r="J276" s="18" t="s">
        <v>176</v>
      </c>
      <c r="K276" s="18" t="s">
        <v>175</v>
      </c>
      <c r="L276" s="18" t="s">
        <v>175</v>
      </c>
      <c r="M276" s="18" t="s">
        <v>175</v>
      </c>
      <c r="N276" s="18" t="s">
        <v>175</v>
      </c>
      <c r="O276" s="18" t="s">
        <v>175</v>
      </c>
      <c r="P276" s="18" t="s">
        <v>181</v>
      </c>
      <c r="Q276" s="18" t="s">
        <v>176</v>
      </c>
      <c r="R276" s="18" t="s">
        <v>175</v>
      </c>
      <c r="S276" s="18" t="s">
        <v>175</v>
      </c>
      <c r="T276" s="19" t="s">
        <v>177</v>
      </c>
      <c r="U276" s="18" t="s">
        <v>175</v>
      </c>
      <c r="V276" s="18" t="s">
        <v>175</v>
      </c>
      <c r="W276" s="18" t="s">
        <v>181</v>
      </c>
      <c r="X276" s="18" t="s">
        <v>176</v>
      </c>
      <c r="Y276" s="18" t="s">
        <v>175</v>
      </c>
      <c r="Z276" s="18" t="s">
        <v>175</v>
      </c>
      <c r="AL276" t="str">
        <f>IFERROR(_xlfn.XLOOKUP(E276, Branches!$B$2:$B$100, Branches!$C$2:$C$100, "خطأ في الكود"), "")</f>
        <v>Bandar Garziz</v>
      </c>
    </row>
    <row r="277" spans="1:38">
      <c r="A277" s="14" t="s">
        <v>389</v>
      </c>
      <c r="B277" s="14">
        <v>80055703</v>
      </c>
      <c r="C277" s="14">
        <v>80055703</v>
      </c>
      <c r="D277" s="18" t="s">
        <v>30</v>
      </c>
      <c r="E277" s="18" t="s">
        <v>149</v>
      </c>
      <c r="F277" s="14" t="s">
        <v>181</v>
      </c>
      <c r="G277" s="14" t="s">
        <v>181</v>
      </c>
      <c r="H277" s="14" t="s">
        <v>181</v>
      </c>
      <c r="I277" s="14" t="s">
        <v>181</v>
      </c>
      <c r="J277" s="14" t="s">
        <v>176</v>
      </c>
      <c r="K277" s="14" t="s">
        <v>181</v>
      </c>
      <c r="L277" s="14" t="s">
        <v>181</v>
      </c>
      <c r="M277" s="14" t="s">
        <v>181</v>
      </c>
      <c r="N277" s="14" t="s">
        <v>181</v>
      </c>
      <c r="O277" s="14" t="s">
        <v>181</v>
      </c>
      <c r="P277" s="14" t="s">
        <v>181</v>
      </c>
      <c r="Q277" s="14" t="s">
        <v>176</v>
      </c>
      <c r="R277" s="14" t="s">
        <v>181</v>
      </c>
      <c r="S277" s="14" t="s">
        <v>181</v>
      </c>
      <c r="T277" s="14" t="s">
        <v>181</v>
      </c>
      <c r="U277" s="14" t="s">
        <v>181</v>
      </c>
      <c r="V277" s="14" t="s">
        <v>181</v>
      </c>
      <c r="W277" s="14" t="s">
        <v>181</v>
      </c>
      <c r="X277" s="14" t="s">
        <v>176</v>
      </c>
      <c r="Y277" s="14" t="s">
        <v>181</v>
      </c>
      <c r="Z277" s="14" t="s">
        <v>181</v>
      </c>
      <c r="AL277" t="str">
        <f>IFERROR(_xlfn.XLOOKUP(E277, Branches!$B$2:$B$100, Branches!$C$2:$C$100, "خطأ في الكود"), "")</f>
        <v>Bandar Garziz</v>
      </c>
    </row>
    <row r="278" spans="1:38">
      <c r="A278" s="18" t="s">
        <v>390</v>
      </c>
      <c r="B278" s="18">
        <v>80025181</v>
      </c>
      <c r="C278" s="18">
        <v>80025181</v>
      </c>
      <c r="D278" s="18" t="s">
        <v>27</v>
      </c>
      <c r="E278" s="18" t="s">
        <v>65</v>
      </c>
      <c r="F278" s="18" t="s">
        <v>175</v>
      </c>
      <c r="G278" s="18" t="s">
        <v>175</v>
      </c>
      <c r="H278" s="18" t="s">
        <v>175</v>
      </c>
      <c r="I278" s="18" t="s">
        <v>176</v>
      </c>
      <c r="J278" s="18" t="s">
        <v>175</v>
      </c>
      <c r="K278" s="18" t="s">
        <v>175</v>
      </c>
      <c r="L278" s="18" t="s">
        <v>175</v>
      </c>
      <c r="M278" s="18" t="s">
        <v>175</v>
      </c>
      <c r="N278" s="18" t="s">
        <v>175</v>
      </c>
      <c r="O278" s="18" t="s">
        <v>175</v>
      </c>
      <c r="P278" s="18" t="s">
        <v>176</v>
      </c>
      <c r="Q278" s="18" t="s">
        <v>175</v>
      </c>
      <c r="R278" s="18" t="s">
        <v>175</v>
      </c>
      <c r="S278" s="19" t="s">
        <v>177</v>
      </c>
      <c r="T278" s="18" t="s">
        <v>175</v>
      </c>
      <c r="U278" s="18" t="s">
        <v>175</v>
      </c>
      <c r="V278" s="18" t="s">
        <v>175</v>
      </c>
      <c r="W278" s="18" t="s">
        <v>176</v>
      </c>
      <c r="X278" s="18" t="s">
        <v>175</v>
      </c>
      <c r="Y278" s="18" t="s">
        <v>175</v>
      </c>
      <c r="Z278" s="18" t="s">
        <v>175</v>
      </c>
      <c r="AL278" t="str">
        <f>IFERROR(_xlfn.XLOOKUP(E278, Branches!$B$2:$B$100, Branches!$C$2:$C$100, "خطأ في الكود"), "")</f>
        <v>Mohammed Gobran Abdali</v>
      </c>
    </row>
    <row r="279" spans="1:38">
      <c r="A279" s="14" t="s">
        <v>391</v>
      </c>
      <c r="B279" s="14">
        <v>80084239</v>
      </c>
      <c r="C279" s="14">
        <v>80084239</v>
      </c>
      <c r="D279" s="18" t="s">
        <v>27</v>
      </c>
      <c r="E279" s="18" t="s">
        <v>153</v>
      </c>
      <c r="F279" s="14" t="s">
        <v>181</v>
      </c>
      <c r="G279" s="19" t="s">
        <v>178</v>
      </c>
      <c r="H279" s="14" t="s">
        <v>176</v>
      </c>
      <c r="I279" s="14" t="s">
        <v>181</v>
      </c>
      <c r="J279" s="14" t="s">
        <v>181</v>
      </c>
      <c r="K279" s="14" t="s">
        <v>181</v>
      </c>
      <c r="L279" s="14" t="s">
        <v>181</v>
      </c>
      <c r="M279" s="14" t="s">
        <v>181</v>
      </c>
      <c r="N279" s="14" t="s">
        <v>181</v>
      </c>
      <c r="O279" s="14" t="s">
        <v>181</v>
      </c>
      <c r="P279" s="14" t="s">
        <v>176</v>
      </c>
      <c r="Q279" s="14" t="s">
        <v>175</v>
      </c>
      <c r="R279" s="14" t="s">
        <v>175</v>
      </c>
      <c r="S279" s="19" t="s">
        <v>177</v>
      </c>
      <c r="T279" s="14" t="s">
        <v>175</v>
      </c>
      <c r="U279" s="14" t="s">
        <v>175</v>
      </c>
      <c r="V279" s="14" t="s">
        <v>175</v>
      </c>
      <c r="W279" s="14" t="s">
        <v>181</v>
      </c>
      <c r="X279" s="14" t="s">
        <v>176</v>
      </c>
      <c r="Y279" s="14" t="s">
        <v>181</v>
      </c>
      <c r="Z279" s="14" t="s">
        <v>181</v>
      </c>
      <c r="AL279" t="str">
        <f>IFERROR(_xlfn.XLOOKUP(E279, Branches!$B$2:$B$100, Branches!$C$2:$C$100, "خطأ في الكود"), "")</f>
        <v>Mohammed Gobran Abdali</v>
      </c>
    </row>
    <row r="280" spans="1:38">
      <c r="A280" s="18" t="s">
        <v>392</v>
      </c>
      <c r="B280" s="18">
        <v>80127513</v>
      </c>
      <c r="C280" s="18">
        <v>80127513</v>
      </c>
      <c r="D280" s="18" t="s">
        <v>46</v>
      </c>
      <c r="E280" s="18" t="s">
        <v>91</v>
      </c>
      <c r="F280" s="18" t="s">
        <v>181</v>
      </c>
      <c r="G280" s="18" t="s">
        <v>181</v>
      </c>
      <c r="H280" s="18" t="s">
        <v>181</v>
      </c>
      <c r="I280" s="18" t="s">
        <v>176</v>
      </c>
      <c r="J280" s="18" t="s">
        <v>175</v>
      </c>
      <c r="K280" s="18" t="s">
        <v>175</v>
      </c>
      <c r="L280" s="19" t="s">
        <v>177</v>
      </c>
      <c r="M280" s="19" t="s">
        <v>177</v>
      </c>
      <c r="N280" s="19" t="s">
        <v>177</v>
      </c>
      <c r="O280" s="18" t="s">
        <v>175</v>
      </c>
      <c r="P280" s="18" t="s">
        <v>176</v>
      </c>
      <c r="Q280" s="18" t="s">
        <v>175</v>
      </c>
      <c r="R280" s="18" t="s">
        <v>175</v>
      </c>
      <c r="S280" s="18" t="s">
        <v>175</v>
      </c>
      <c r="T280" s="18" t="s">
        <v>175</v>
      </c>
      <c r="U280" s="18" t="s">
        <v>175</v>
      </c>
      <c r="V280" s="18" t="s">
        <v>175</v>
      </c>
      <c r="W280" s="18" t="s">
        <v>176</v>
      </c>
      <c r="X280" s="18" t="s">
        <v>181</v>
      </c>
      <c r="Y280" s="18" t="s">
        <v>181</v>
      </c>
      <c r="Z280" s="19" t="s">
        <v>178</v>
      </c>
      <c r="AL280" t="str">
        <f>IFERROR(_xlfn.XLOOKUP(E280, Branches!$B$2:$B$100, Branches!$C$2:$C$100, "خطأ في الكود"), "")</f>
        <v>Musab Hakami</v>
      </c>
    </row>
    <row r="281" spans="1:38">
      <c r="A281" s="14" t="s">
        <v>393</v>
      </c>
      <c r="B281" s="14">
        <v>80128274</v>
      </c>
      <c r="C281" s="14">
        <v>80128274</v>
      </c>
      <c r="D281" s="18" t="s">
        <v>18</v>
      </c>
      <c r="E281" s="18" t="s">
        <v>71</v>
      </c>
      <c r="F281" s="14" t="s">
        <v>175</v>
      </c>
      <c r="G281" s="14" t="s">
        <v>175</v>
      </c>
      <c r="H281" s="14" t="s">
        <v>175</v>
      </c>
      <c r="I281" s="14" t="s">
        <v>176</v>
      </c>
      <c r="J281" s="14" t="s">
        <v>182</v>
      </c>
      <c r="K281" s="14" t="s">
        <v>175</v>
      </c>
      <c r="L281" s="14" t="s">
        <v>175</v>
      </c>
      <c r="M281" s="14" t="s">
        <v>175</v>
      </c>
      <c r="N281" s="19" t="s">
        <v>177</v>
      </c>
      <c r="O281" s="19" t="s">
        <v>177</v>
      </c>
      <c r="P281" s="14" t="s">
        <v>179</v>
      </c>
      <c r="Q281" s="14" t="s">
        <v>175</v>
      </c>
      <c r="R281" s="14" t="s">
        <v>175</v>
      </c>
      <c r="S281" s="14" t="s">
        <v>175</v>
      </c>
      <c r="T281" s="14" t="s">
        <v>175</v>
      </c>
      <c r="U281" s="14" t="s">
        <v>175</v>
      </c>
      <c r="V281" s="14" t="s">
        <v>175</v>
      </c>
      <c r="W281" s="14" t="s">
        <v>176</v>
      </c>
      <c r="X281" s="14" t="s">
        <v>175</v>
      </c>
      <c r="Y281" s="14" t="s">
        <v>175</v>
      </c>
      <c r="Z281" s="14" t="s">
        <v>175</v>
      </c>
      <c r="AL281" t="str">
        <f>IFERROR(_xlfn.XLOOKUP(E281, Branches!$B$2:$B$100, Branches!$C$2:$C$100, "خطأ في الكود"), "")</f>
        <v>Zayed Al Subaie</v>
      </c>
    </row>
    <row r="282" spans="1:38">
      <c r="A282" s="18" t="s">
        <v>394</v>
      </c>
      <c r="B282" s="18">
        <v>80127889</v>
      </c>
      <c r="C282" s="18">
        <v>80127889</v>
      </c>
      <c r="D282" s="18" t="s">
        <v>46</v>
      </c>
      <c r="E282" s="18" t="s">
        <v>91</v>
      </c>
      <c r="F282" s="18" t="s">
        <v>175</v>
      </c>
      <c r="G282" s="18" t="s">
        <v>175</v>
      </c>
      <c r="H282" s="18" t="s">
        <v>175</v>
      </c>
      <c r="I282" s="18" t="s">
        <v>176</v>
      </c>
      <c r="J282" s="18" t="s">
        <v>181</v>
      </c>
      <c r="K282" s="18" t="s">
        <v>181</v>
      </c>
      <c r="L282" s="18" t="s">
        <v>181</v>
      </c>
      <c r="M282" s="18" t="s">
        <v>181</v>
      </c>
      <c r="N282" s="18" t="s">
        <v>181</v>
      </c>
      <c r="O282" s="18" t="s">
        <v>181</v>
      </c>
      <c r="P282" s="18" t="s">
        <v>176</v>
      </c>
      <c r="Q282" s="18" t="s">
        <v>181</v>
      </c>
      <c r="R282" s="18" t="s">
        <v>181</v>
      </c>
      <c r="S282" s="18" t="s">
        <v>181</v>
      </c>
      <c r="T282" s="18" t="s">
        <v>181</v>
      </c>
      <c r="U282" s="18" t="s">
        <v>181</v>
      </c>
      <c r="V282" s="18" t="s">
        <v>181</v>
      </c>
      <c r="W282" s="18" t="s">
        <v>176</v>
      </c>
      <c r="X282" s="18" t="s">
        <v>175</v>
      </c>
      <c r="Y282" s="18" t="s">
        <v>175</v>
      </c>
      <c r="Z282" s="18" t="s">
        <v>175</v>
      </c>
      <c r="AL282" t="str">
        <f>IFERROR(_xlfn.XLOOKUP(E282, Branches!$B$2:$B$100, Branches!$C$2:$C$100, "خطأ في الكود"), "")</f>
        <v>Musab Hakami</v>
      </c>
    </row>
    <row r="283" spans="1:38">
      <c r="A283" s="14" t="s">
        <v>395</v>
      </c>
      <c r="B283" s="14">
        <v>80112543</v>
      </c>
      <c r="C283" s="14">
        <v>80112543</v>
      </c>
      <c r="D283" s="18" t="s">
        <v>18</v>
      </c>
      <c r="E283" s="18" t="s">
        <v>97</v>
      </c>
      <c r="F283" s="19" t="s">
        <v>177</v>
      </c>
      <c r="G283" s="14" t="s">
        <v>175</v>
      </c>
      <c r="H283" s="14" t="s">
        <v>181</v>
      </c>
      <c r="I283" s="14" t="s">
        <v>176</v>
      </c>
      <c r="J283" s="14" t="s">
        <v>181</v>
      </c>
      <c r="K283" s="14" t="s">
        <v>175</v>
      </c>
      <c r="L283" s="14" t="s">
        <v>175</v>
      </c>
      <c r="M283" s="14" t="s">
        <v>175</v>
      </c>
      <c r="N283" s="19" t="s">
        <v>177</v>
      </c>
      <c r="O283" s="14" t="s">
        <v>181</v>
      </c>
      <c r="P283" s="14" t="s">
        <v>176</v>
      </c>
      <c r="Q283" s="19" t="s">
        <v>177</v>
      </c>
      <c r="R283" s="19" t="s">
        <v>177</v>
      </c>
      <c r="S283" s="14" t="s">
        <v>175</v>
      </c>
      <c r="T283" s="19" t="s">
        <v>177</v>
      </c>
      <c r="U283" s="14" t="s">
        <v>181</v>
      </c>
      <c r="V283" s="14" t="s">
        <v>181</v>
      </c>
      <c r="W283" s="19" t="s">
        <v>178</v>
      </c>
      <c r="X283" s="14" t="s">
        <v>176</v>
      </c>
      <c r="Y283" s="14" t="s">
        <v>181</v>
      </c>
      <c r="Z283" s="14" t="s">
        <v>181</v>
      </c>
      <c r="AL283" t="str">
        <f>IFERROR(_xlfn.XLOOKUP(E283, Branches!$B$2:$B$100, Branches!$C$2:$C$100, "خطأ في الكود"), "")</f>
        <v>Zayed Al Subaie</v>
      </c>
    </row>
    <row r="284" spans="1:38">
      <c r="A284" s="18" t="s">
        <v>396</v>
      </c>
      <c r="B284" s="18">
        <v>80094240</v>
      </c>
      <c r="C284" s="18">
        <v>80094240</v>
      </c>
      <c r="D284" s="18" t="s">
        <v>41</v>
      </c>
      <c r="E284" s="18" t="s">
        <v>107</v>
      </c>
      <c r="F284" s="19" t="s">
        <v>178</v>
      </c>
      <c r="G284" s="18" t="s">
        <v>277</v>
      </c>
      <c r="H284" s="18" t="s">
        <v>179</v>
      </c>
      <c r="I284" s="18" t="s">
        <v>181</v>
      </c>
      <c r="J284" s="18" t="s">
        <v>181</v>
      </c>
      <c r="K284" s="18" t="s">
        <v>175</v>
      </c>
      <c r="L284" s="19" t="s">
        <v>177</v>
      </c>
      <c r="M284" s="18" t="s">
        <v>175</v>
      </c>
      <c r="N284" s="19" t="s">
        <v>177</v>
      </c>
      <c r="O284" s="18" t="s">
        <v>176</v>
      </c>
      <c r="P284" s="18" t="s">
        <v>181</v>
      </c>
      <c r="Q284" s="19" t="s">
        <v>178</v>
      </c>
      <c r="R284" s="18" t="s">
        <v>181</v>
      </c>
      <c r="S284" s="19" t="s">
        <v>178</v>
      </c>
      <c r="T284" s="18" t="s">
        <v>181</v>
      </c>
      <c r="U284" s="18" t="s">
        <v>181</v>
      </c>
      <c r="V284" s="18" t="s">
        <v>176</v>
      </c>
      <c r="W284" s="18" t="s">
        <v>181</v>
      </c>
      <c r="X284" s="18" t="s">
        <v>181</v>
      </c>
      <c r="Y284" s="18" t="s">
        <v>175</v>
      </c>
      <c r="Z284" s="18" t="s">
        <v>175</v>
      </c>
      <c r="AL284" t="str">
        <f>IFERROR(_xlfn.XLOOKUP(E284, Branches!$B$2:$B$100, Branches!$C$2:$C$100, "خطأ في الكود"), "")</f>
        <v>Mohammed Al - Gahtani</v>
      </c>
    </row>
    <row r="285" spans="1:38">
      <c r="A285" s="14" t="s">
        <v>397</v>
      </c>
      <c r="B285" s="14">
        <v>80116977</v>
      </c>
      <c r="C285" s="14">
        <v>80116977</v>
      </c>
      <c r="D285" s="18" t="s">
        <v>30</v>
      </c>
      <c r="E285" s="18" t="s">
        <v>163</v>
      </c>
      <c r="F285" s="19" t="s">
        <v>177</v>
      </c>
      <c r="G285" s="19" t="s">
        <v>177</v>
      </c>
      <c r="H285" s="19" t="s">
        <v>177</v>
      </c>
      <c r="I285" s="14" t="s">
        <v>179</v>
      </c>
      <c r="J285" s="14" t="s">
        <v>181</v>
      </c>
      <c r="K285" s="19" t="s">
        <v>178</v>
      </c>
      <c r="L285" s="14" t="s">
        <v>181</v>
      </c>
      <c r="M285" s="14" t="s">
        <v>181</v>
      </c>
      <c r="N285" s="14" t="s">
        <v>181</v>
      </c>
      <c r="O285" s="14" t="s">
        <v>181</v>
      </c>
      <c r="P285" s="14" t="s">
        <v>176</v>
      </c>
      <c r="Q285" s="19" t="s">
        <v>178</v>
      </c>
      <c r="R285" s="19" t="s">
        <v>178</v>
      </c>
      <c r="S285" s="19" t="s">
        <v>178</v>
      </c>
      <c r="T285" s="19" t="s">
        <v>178</v>
      </c>
      <c r="U285" s="19" t="s">
        <v>178</v>
      </c>
      <c r="V285" s="19" t="s">
        <v>178</v>
      </c>
      <c r="W285" s="14" t="s">
        <v>176</v>
      </c>
      <c r="X285" s="19" t="s">
        <v>177</v>
      </c>
      <c r="Y285" s="19" t="s">
        <v>177</v>
      </c>
      <c r="Z285" s="19" t="s">
        <v>177</v>
      </c>
      <c r="AL285" t="str">
        <f>IFERROR(_xlfn.XLOOKUP(E285, Branches!$B$2:$B$100, Branches!$C$2:$C$100, "خطأ في الكود"), "")</f>
        <v>Bandar Garziz</v>
      </c>
    </row>
    <row r="286" spans="1:38">
      <c r="A286" s="18" t="s">
        <v>398</v>
      </c>
      <c r="B286" s="18">
        <v>80116436</v>
      </c>
      <c r="C286" s="18">
        <v>80116436</v>
      </c>
      <c r="D286" s="18" t="s">
        <v>30</v>
      </c>
      <c r="E286" s="18" t="s">
        <v>101</v>
      </c>
      <c r="F286" s="18" t="s">
        <v>181</v>
      </c>
      <c r="G286" s="18" t="s">
        <v>181</v>
      </c>
      <c r="H286" s="18" t="s">
        <v>176</v>
      </c>
      <c r="I286" s="18" t="s">
        <v>181</v>
      </c>
      <c r="J286" s="19" t="s">
        <v>177</v>
      </c>
      <c r="K286" s="19" t="s">
        <v>177</v>
      </c>
      <c r="L286" s="19" t="s">
        <v>177</v>
      </c>
      <c r="M286" s="19" t="s">
        <v>177</v>
      </c>
      <c r="N286" s="19" t="s">
        <v>177</v>
      </c>
      <c r="O286" s="18" t="s">
        <v>176</v>
      </c>
      <c r="P286" s="19" t="s">
        <v>178</v>
      </c>
      <c r="Q286" s="18" t="s">
        <v>181</v>
      </c>
      <c r="R286" s="18" t="s">
        <v>181</v>
      </c>
      <c r="S286" s="18" t="s">
        <v>181</v>
      </c>
      <c r="T286" s="18" t="s">
        <v>181</v>
      </c>
      <c r="U286" s="18" t="s">
        <v>181</v>
      </c>
      <c r="V286" s="18" t="s">
        <v>175</v>
      </c>
      <c r="W286" s="18" t="s">
        <v>176</v>
      </c>
      <c r="X286" s="19" t="s">
        <v>178</v>
      </c>
      <c r="Y286" s="18" t="s">
        <v>181</v>
      </c>
      <c r="Z286" s="18" t="s">
        <v>181</v>
      </c>
      <c r="AL286" t="str">
        <f>IFERROR(_xlfn.XLOOKUP(E286, Branches!$B$2:$B$100, Branches!$C$2:$C$100, "خطأ في الكود"), "")</f>
        <v>Abdul Rahman Mohsen Al Enzi</v>
      </c>
    </row>
    <row r="287" spans="1:38">
      <c r="A287" s="14" t="s">
        <v>399</v>
      </c>
      <c r="B287" s="14">
        <v>80092195</v>
      </c>
      <c r="C287" s="14">
        <v>80092195</v>
      </c>
      <c r="D287" s="18" t="s">
        <v>27</v>
      </c>
      <c r="E287" s="18" t="s">
        <v>139</v>
      </c>
      <c r="F287" s="19" t="s">
        <v>178</v>
      </c>
      <c r="G287" s="19" t="s">
        <v>178</v>
      </c>
      <c r="H287" s="14" t="s">
        <v>181</v>
      </c>
      <c r="I287" s="14" t="s">
        <v>176</v>
      </c>
      <c r="J287" s="14" t="s">
        <v>175</v>
      </c>
      <c r="K287" s="14" t="s">
        <v>175</v>
      </c>
      <c r="L287" s="19" t="s">
        <v>177</v>
      </c>
      <c r="M287" s="19" t="s">
        <v>177</v>
      </c>
      <c r="N287" s="19" t="s">
        <v>177</v>
      </c>
      <c r="O287" s="19" t="s">
        <v>177</v>
      </c>
      <c r="P287" s="14" t="s">
        <v>181</v>
      </c>
      <c r="Q287" s="14" t="s">
        <v>176</v>
      </c>
      <c r="R287" s="19" t="s">
        <v>178</v>
      </c>
      <c r="S287" s="19" t="s">
        <v>178</v>
      </c>
      <c r="T287" s="19" t="s">
        <v>178</v>
      </c>
      <c r="U287" s="14" t="s">
        <v>181</v>
      </c>
      <c r="V287" s="14" t="s">
        <v>179</v>
      </c>
      <c r="W287" s="15" t="s">
        <v>180</v>
      </c>
      <c r="X287" s="19" t="s">
        <v>178</v>
      </c>
      <c r="Y287" s="19" t="s">
        <v>178</v>
      </c>
      <c r="Z287" s="14" t="s">
        <v>181</v>
      </c>
      <c r="AL287" t="str">
        <f>IFERROR(_xlfn.XLOOKUP(E287, Branches!$B$2:$B$100, Branches!$C$2:$C$100, "خطأ في الكود"), "")</f>
        <v>Mohammed Gobran Abdali</v>
      </c>
    </row>
    <row r="288" spans="1:38">
      <c r="A288" s="18" t="s">
        <v>400</v>
      </c>
      <c r="B288" s="18">
        <v>80058148</v>
      </c>
      <c r="C288" s="18">
        <v>80058148</v>
      </c>
      <c r="D288" s="18" t="s">
        <v>18</v>
      </c>
      <c r="E288" s="18" t="s">
        <v>121</v>
      </c>
      <c r="F288" s="18" t="s">
        <v>184</v>
      </c>
      <c r="G288" s="18" t="s">
        <v>175</v>
      </c>
      <c r="H288" s="18" t="s">
        <v>175</v>
      </c>
      <c r="I288" s="18" t="s">
        <v>176</v>
      </c>
      <c r="J288" s="18" t="s">
        <v>175</v>
      </c>
      <c r="K288" s="18" t="s">
        <v>175</v>
      </c>
      <c r="L288" s="18" t="s">
        <v>184</v>
      </c>
      <c r="M288" s="18" t="s">
        <v>184</v>
      </c>
      <c r="N288" s="18" t="s">
        <v>175</v>
      </c>
      <c r="O288" s="18" t="s">
        <v>184</v>
      </c>
      <c r="P288" s="18" t="s">
        <v>179</v>
      </c>
      <c r="Q288" s="18" t="s">
        <v>192</v>
      </c>
      <c r="R288" s="18" t="s">
        <v>175</v>
      </c>
      <c r="S288" s="18" t="s">
        <v>175</v>
      </c>
      <c r="T288" s="18" t="s">
        <v>175</v>
      </c>
      <c r="U288" s="18" t="s">
        <v>175</v>
      </c>
      <c r="V288" s="19" t="s">
        <v>177</v>
      </c>
      <c r="W288" s="18" t="s">
        <v>176</v>
      </c>
      <c r="X288" s="19" t="s">
        <v>177</v>
      </c>
      <c r="Y288" s="19" t="s">
        <v>177</v>
      </c>
      <c r="Z288" s="18" t="s">
        <v>175</v>
      </c>
      <c r="AL288" t="str">
        <f>IFERROR(_xlfn.XLOOKUP(E288, Branches!$B$2:$B$100, Branches!$C$2:$C$100, "خطأ في الكود"), "")</f>
        <v>Zayed Al Subaie</v>
      </c>
    </row>
    <row r="289" spans="1:38">
      <c r="A289" s="14" t="s">
        <v>401</v>
      </c>
      <c r="B289" s="14">
        <v>80127577</v>
      </c>
      <c r="C289" s="14">
        <v>80127577</v>
      </c>
      <c r="D289" s="18" t="s">
        <v>18</v>
      </c>
      <c r="E289" s="18" t="s">
        <v>69</v>
      </c>
      <c r="F289" s="14" t="s">
        <v>181</v>
      </c>
      <c r="G289" s="14" t="s">
        <v>184</v>
      </c>
      <c r="H289" s="14" t="s">
        <v>184</v>
      </c>
      <c r="I289" s="14" t="s">
        <v>184</v>
      </c>
      <c r="J289" s="14" t="s">
        <v>181</v>
      </c>
      <c r="K289" s="14" t="s">
        <v>181</v>
      </c>
      <c r="L289" s="19" t="s">
        <v>178</v>
      </c>
      <c r="M289" s="14" t="s">
        <v>181</v>
      </c>
      <c r="N289" s="14" t="s">
        <v>181</v>
      </c>
      <c r="O289" s="15" t="s">
        <v>180</v>
      </c>
      <c r="P289" s="14" t="s">
        <v>176</v>
      </c>
      <c r="Q289" s="14" t="s">
        <v>181</v>
      </c>
      <c r="R289" s="14" t="s">
        <v>181</v>
      </c>
      <c r="S289" s="14" t="s">
        <v>181</v>
      </c>
      <c r="T289" s="14" t="s">
        <v>181</v>
      </c>
      <c r="U289" s="14" t="s">
        <v>181</v>
      </c>
      <c r="V289" s="15" t="s">
        <v>180</v>
      </c>
      <c r="W289" s="14" t="s">
        <v>179</v>
      </c>
      <c r="X289" s="14" t="s">
        <v>181</v>
      </c>
      <c r="Y289" s="14" t="s">
        <v>181</v>
      </c>
      <c r="Z289" s="14" t="s">
        <v>181</v>
      </c>
      <c r="AL289" t="str">
        <f>IFERROR(_xlfn.XLOOKUP(E289, Branches!$B$2:$B$100, Branches!$C$2:$C$100, "خطأ في الكود"), "")</f>
        <v>Zayed Al Subaie</v>
      </c>
    </row>
    <row r="290" spans="1:38">
      <c r="A290" s="18" t="s">
        <v>402</v>
      </c>
      <c r="B290" s="18">
        <v>80086686</v>
      </c>
      <c r="C290" s="18">
        <v>80086686</v>
      </c>
      <c r="D290" s="18" t="s">
        <v>18</v>
      </c>
      <c r="E290" s="18" t="s">
        <v>51</v>
      </c>
      <c r="F290" s="18" t="s">
        <v>175</v>
      </c>
      <c r="G290" s="18" t="s">
        <v>175</v>
      </c>
      <c r="H290" s="18" t="s">
        <v>175</v>
      </c>
      <c r="I290" s="18" t="s">
        <v>176</v>
      </c>
      <c r="J290" s="18" t="s">
        <v>181</v>
      </c>
      <c r="K290" s="18" t="s">
        <v>181</v>
      </c>
      <c r="L290" s="18" t="s">
        <v>181</v>
      </c>
      <c r="M290" s="18" t="s">
        <v>176</v>
      </c>
      <c r="N290" s="18" t="s">
        <v>181</v>
      </c>
      <c r="O290" s="18" t="s">
        <v>184</v>
      </c>
      <c r="P290" s="18" t="s">
        <v>176</v>
      </c>
      <c r="Q290" s="18" t="s">
        <v>175</v>
      </c>
      <c r="R290" s="18" t="s">
        <v>175</v>
      </c>
      <c r="S290" s="18" t="s">
        <v>175</v>
      </c>
      <c r="T290" s="18" t="s">
        <v>175</v>
      </c>
      <c r="U290" s="18" t="s">
        <v>175</v>
      </c>
      <c r="V290" s="18" t="s">
        <v>175</v>
      </c>
      <c r="W290" s="18" t="s">
        <v>176</v>
      </c>
      <c r="X290" s="18" t="s">
        <v>175</v>
      </c>
      <c r="Y290" s="18" t="s">
        <v>175</v>
      </c>
      <c r="Z290" s="18" t="s">
        <v>175</v>
      </c>
      <c r="AL290" t="str">
        <f>IFERROR(_xlfn.XLOOKUP(E290, Branches!$B$2:$B$100, Branches!$C$2:$C$100, "خطأ في الكود"), "")</f>
        <v>Othman Al Sagri</v>
      </c>
    </row>
    <row r="291" spans="1:38">
      <c r="A291" s="14" t="s">
        <v>403</v>
      </c>
      <c r="B291" s="14">
        <v>80084345</v>
      </c>
      <c r="C291" s="14">
        <v>80084345</v>
      </c>
      <c r="D291" s="18" t="s">
        <v>18</v>
      </c>
      <c r="E291" s="18" t="s">
        <v>51</v>
      </c>
      <c r="F291" s="14" t="s">
        <v>182</v>
      </c>
      <c r="G291" s="14" t="s">
        <v>175</v>
      </c>
      <c r="H291" s="14" t="s">
        <v>175</v>
      </c>
      <c r="I291" s="14" t="s">
        <v>176</v>
      </c>
      <c r="J291" s="14" t="s">
        <v>181</v>
      </c>
      <c r="K291" s="14" t="s">
        <v>181</v>
      </c>
      <c r="L291" s="14" t="s">
        <v>181</v>
      </c>
      <c r="M291" s="14" t="s">
        <v>181</v>
      </c>
      <c r="N291" s="14" t="s">
        <v>181</v>
      </c>
      <c r="O291" s="14" t="s">
        <v>176</v>
      </c>
      <c r="P291" s="14" t="s">
        <v>176</v>
      </c>
      <c r="Q291" s="14" t="s">
        <v>181</v>
      </c>
      <c r="R291" s="14" t="s">
        <v>181</v>
      </c>
      <c r="S291" s="19" t="s">
        <v>178</v>
      </c>
      <c r="T291" s="14" t="s">
        <v>181</v>
      </c>
      <c r="U291" s="14" t="s">
        <v>181</v>
      </c>
      <c r="V291" s="14" t="s">
        <v>181</v>
      </c>
      <c r="W291" s="14" t="s">
        <v>176</v>
      </c>
      <c r="X291" s="14" t="s">
        <v>175</v>
      </c>
      <c r="Y291" s="14" t="s">
        <v>175</v>
      </c>
      <c r="Z291" s="14" t="s">
        <v>175</v>
      </c>
      <c r="AL291" t="str">
        <f>IFERROR(_xlfn.XLOOKUP(E291, Branches!$B$2:$B$100, Branches!$C$2:$C$100, "خطأ في الكود"), "")</f>
        <v>Othman Al Sagri</v>
      </c>
    </row>
    <row r="292" spans="1:38">
      <c r="A292" s="18" t="s">
        <v>404</v>
      </c>
      <c r="B292" s="18">
        <v>80099800</v>
      </c>
      <c r="C292" s="18">
        <v>80099800</v>
      </c>
      <c r="D292" s="18" t="s">
        <v>30</v>
      </c>
      <c r="E292" s="18" t="s">
        <v>37</v>
      </c>
      <c r="F292" s="18" t="s">
        <v>175</v>
      </c>
      <c r="G292" s="19" t="s">
        <v>177</v>
      </c>
      <c r="H292" s="19" t="s">
        <v>177</v>
      </c>
      <c r="I292" s="18" t="s">
        <v>176</v>
      </c>
      <c r="J292" s="18" t="s">
        <v>175</v>
      </c>
      <c r="K292" s="19" t="s">
        <v>177</v>
      </c>
      <c r="L292" s="18" t="s">
        <v>175</v>
      </c>
      <c r="M292" s="19" t="s">
        <v>177</v>
      </c>
      <c r="N292" s="19" t="s">
        <v>177</v>
      </c>
      <c r="O292" s="18" t="s">
        <v>175</v>
      </c>
      <c r="P292" s="18" t="s">
        <v>176</v>
      </c>
      <c r="Q292" s="18" t="s">
        <v>175</v>
      </c>
      <c r="R292" s="19" t="s">
        <v>177</v>
      </c>
      <c r="S292" s="18" t="s">
        <v>175</v>
      </c>
      <c r="T292" s="18" t="s">
        <v>175</v>
      </c>
      <c r="U292" s="18" t="s">
        <v>181</v>
      </c>
      <c r="V292" s="18" t="s">
        <v>181</v>
      </c>
      <c r="W292" s="18" t="s">
        <v>176</v>
      </c>
      <c r="X292" s="18" t="s">
        <v>181</v>
      </c>
      <c r="Y292" s="18" t="s">
        <v>181</v>
      </c>
      <c r="Z292" s="18" t="s">
        <v>181</v>
      </c>
      <c r="AL292" t="str">
        <f>IFERROR(_xlfn.XLOOKUP(E292, Branches!$B$2:$B$100, Branches!$C$2:$C$100, "خطأ في الكود"), "")</f>
        <v>Abdul Rahman Mohsen Al Enzi</v>
      </c>
    </row>
    <row r="293" spans="1:38">
      <c r="A293" s="14" t="s">
        <v>405</v>
      </c>
      <c r="B293" s="14">
        <v>80128477</v>
      </c>
      <c r="C293" s="14">
        <v>80128477</v>
      </c>
      <c r="D293" s="18" t="s">
        <v>18</v>
      </c>
      <c r="E293" s="18" t="s">
        <v>35</v>
      </c>
      <c r="F293" s="19" t="s">
        <v>178</v>
      </c>
      <c r="G293" s="14" t="s">
        <v>181</v>
      </c>
      <c r="H293" s="14" t="s">
        <v>175</v>
      </c>
      <c r="I293" s="14" t="s">
        <v>184</v>
      </c>
      <c r="J293" s="14" t="s">
        <v>184</v>
      </c>
      <c r="K293" s="14" t="s">
        <v>181</v>
      </c>
      <c r="L293" s="14" t="s">
        <v>181</v>
      </c>
      <c r="M293" s="14" t="s">
        <v>181</v>
      </c>
      <c r="N293" s="14" t="s">
        <v>181</v>
      </c>
      <c r="O293" s="15" t="s">
        <v>180</v>
      </c>
      <c r="P293" s="14" t="s">
        <v>181</v>
      </c>
      <c r="Q293" s="14" t="s">
        <v>176</v>
      </c>
      <c r="R293" s="19" t="s">
        <v>178</v>
      </c>
      <c r="S293" s="14" t="s">
        <v>181</v>
      </c>
      <c r="T293" s="14" t="s">
        <v>181</v>
      </c>
      <c r="U293" s="14" t="s">
        <v>181</v>
      </c>
      <c r="V293" s="14" t="s">
        <v>181</v>
      </c>
      <c r="W293" s="14" t="s">
        <v>181</v>
      </c>
      <c r="X293" s="14" t="s">
        <v>176</v>
      </c>
      <c r="Y293" s="14" t="s">
        <v>175</v>
      </c>
      <c r="Z293" s="14" t="s">
        <v>175</v>
      </c>
      <c r="AL293" t="str">
        <f>IFERROR(_xlfn.XLOOKUP(E293, Branches!$B$2:$B$100, Branches!$C$2:$C$100, "خطأ في الكود"), "")</f>
        <v>Zayed Al Subaie</v>
      </c>
    </row>
    <row r="294" spans="1:38">
      <c r="A294" s="18" t="s">
        <v>406</v>
      </c>
      <c r="B294" s="18">
        <v>80127843</v>
      </c>
      <c r="C294" s="18">
        <v>80127843</v>
      </c>
      <c r="D294" s="18" t="s">
        <v>18</v>
      </c>
      <c r="E294" s="18" t="s">
        <v>165</v>
      </c>
      <c r="F294" s="18" t="s">
        <v>181</v>
      </c>
      <c r="G294" s="19" t="s">
        <v>178</v>
      </c>
      <c r="H294" s="19" t="s">
        <v>178</v>
      </c>
      <c r="I294" s="18" t="s">
        <v>179</v>
      </c>
      <c r="J294" s="18" t="s">
        <v>184</v>
      </c>
      <c r="K294" s="18" t="s">
        <v>184</v>
      </c>
      <c r="L294" s="18" t="s">
        <v>181</v>
      </c>
      <c r="M294" s="18" t="s">
        <v>181</v>
      </c>
      <c r="N294" s="18" t="s">
        <v>181</v>
      </c>
      <c r="O294" s="18" t="s">
        <v>184</v>
      </c>
      <c r="P294" s="18" t="s">
        <v>179</v>
      </c>
      <c r="Q294" s="19" t="s">
        <v>178</v>
      </c>
      <c r="R294" s="19" t="s">
        <v>178</v>
      </c>
      <c r="S294" s="18" t="s">
        <v>181</v>
      </c>
      <c r="T294" s="19" t="s">
        <v>178</v>
      </c>
      <c r="U294" s="18" t="s">
        <v>184</v>
      </c>
      <c r="V294" s="18" t="s">
        <v>181</v>
      </c>
      <c r="W294" s="18" t="s">
        <v>179</v>
      </c>
      <c r="X294" s="19" t="s">
        <v>178</v>
      </c>
      <c r="Y294" s="19" t="s">
        <v>178</v>
      </c>
      <c r="Z294" s="19" t="s">
        <v>178</v>
      </c>
      <c r="AL294" t="str">
        <f>IFERROR(_xlfn.XLOOKUP(E294, Branches!$B$2:$B$100, Branches!$C$2:$C$100, "خطأ في الكود"), "")</f>
        <v>Zayed Al Subaie</v>
      </c>
    </row>
    <row r="295" spans="1:38">
      <c r="A295" s="14" t="s">
        <v>407</v>
      </c>
      <c r="B295" s="14">
        <v>80126979</v>
      </c>
      <c r="C295" s="14">
        <v>80126979</v>
      </c>
      <c r="D295" s="18" t="s">
        <v>18</v>
      </c>
      <c r="E295" s="18" t="s">
        <v>97</v>
      </c>
      <c r="F295" s="14" t="s">
        <v>184</v>
      </c>
      <c r="G295" s="14" t="s">
        <v>184</v>
      </c>
      <c r="H295" s="14" t="s">
        <v>184</v>
      </c>
      <c r="I295" s="14" t="s">
        <v>184</v>
      </c>
      <c r="J295" s="14" t="s">
        <v>184</v>
      </c>
      <c r="K295" s="14" t="s">
        <v>184</v>
      </c>
      <c r="L295" s="14" t="s">
        <v>184</v>
      </c>
      <c r="M295" s="14" t="s">
        <v>184</v>
      </c>
      <c r="N295" s="14" t="s">
        <v>184</v>
      </c>
      <c r="O295" s="14" t="s">
        <v>184</v>
      </c>
      <c r="P295" s="14" t="s">
        <v>184</v>
      </c>
      <c r="Q295" s="19" t="s">
        <v>177</v>
      </c>
      <c r="R295" s="19" t="s">
        <v>177</v>
      </c>
      <c r="S295" s="19" t="s">
        <v>177</v>
      </c>
      <c r="T295" s="19" t="s">
        <v>177</v>
      </c>
      <c r="U295" s="14" t="s">
        <v>181</v>
      </c>
      <c r="V295" s="14" t="s">
        <v>176</v>
      </c>
      <c r="W295" s="14" t="s">
        <v>181</v>
      </c>
      <c r="X295" s="19" t="s">
        <v>178</v>
      </c>
      <c r="Y295" s="14" t="s">
        <v>181</v>
      </c>
      <c r="Z295" s="14" t="s">
        <v>181</v>
      </c>
      <c r="AL295" t="str">
        <f>IFERROR(_xlfn.XLOOKUP(E295, Branches!$B$2:$B$100, Branches!$C$2:$C$100, "خطأ في الكود"), "")</f>
        <v>Zayed Al Subaie</v>
      </c>
    </row>
    <row r="296" spans="1:38">
      <c r="A296" s="18" t="s">
        <v>408</v>
      </c>
      <c r="B296" s="18">
        <v>80121715</v>
      </c>
      <c r="C296" s="18">
        <v>80121715</v>
      </c>
      <c r="D296" s="18" t="s">
        <v>27</v>
      </c>
      <c r="E296" s="18" t="s">
        <v>111</v>
      </c>
      <c r="F296" s="18" t="s">
        <v>175</v>
      </c>
      <c r="G296" s="19" t="s">
        <v>177</v>
      </c>
      <c r="H296" s="19" t="s">
        <v>177</v>
      </c>
      <c r="I296" s="19" t="s">
        <v>178</v>
      </c>
      <c r="J296" s="18" t="s">
        <v>176</v>
      </c>
      <c r="K296" s="18" t="s">
        <v>181</v>
      </c>
      <c r="L296" s="18" t="s">
        <v>181</v>
      </c>
      <c r="M296" s="18" t="s">
        <v>184</v>
      </c>
      <c r="N296" s="18" t="s">
        <v>184</v>
      </c>
      <c r="O296" s="18" t="s">
        <v>184</v>
      </c>
      <c r="P296" s="18" t="s">
        <v>181</v>
      </c>
      <c r="Q296" s="18" t="s">
        <v>181</v>
      </c>
      <c r="R296" s="18" t="s">
        <v>181</v>
      </c>
      <c r="S296" s="18" t="s">
        <v>181</v>
      </c>
      <c r="T296" s="18" t="s">
        <v>181</v>
      </c>
      <c r="U296" s="18" t="s">
        <v>181</v>
      </c>
      <c r="V296" s="18" t="s">
        <v>181</v>
      </c>
      <c r="W296" s="18" t="s">
        <v>181</v>
      </c>
      <c r="X296" s="18" t="s">
        <v>176</v>
      </c>
      <c r="Y296" s="18" t="s">
        <v>175</v>
      </c>
      <c r="Z296" s="19" t="s">
        <v>177</v>
      </c>
      <c r="AL296" t="str">
        <f>IFERROR(_xlfn.XLOOKUP(E296, Branches!$B$2:$B$100, Branches!$C$2:$C$100, "خطأ في الكود"), "")</f>
        <v>Mohammed Gobran Abdali</v>
      </c>
    </row>
    <row r="297" spans="1:38">
      <c r="A297" s="14" t="s">
        <v>409</v>
      </c>
      <c r="B297" s="14">
        <v>80074498</v>
      </c>
      <c r="C297" s="14">
        <v>80074498</v>
      </c>
      <c r="D297" s="18" t="s">
        <v>30</v>
      </c>
      <c r="E297" s="18" t="s">
        <v>135</v>
      </c>
      <c r="F297" s="14" t="s">
        <v>205</v>
      </c>
      <c r="G297" s="14" t="s">
        <v>205</v>
      </c>
      <c r="H297" s="14" t="s">
        <v>175</v>
      </c>
      <c r="I297" s="14" t="s">
        <v>176</v>
      </c>
      <c r="J297" s="14" t="s">
        <v>175</v>
      </c>
      <c r="K297" s="14" t="s">
        <v>175</v>
      </c>
      <c r="L297" s="14" t="s">
        <v>175</v>
      </c>
      <c r="M297" s="14" t="s">
        <v>175</v>
      </c>
      <c r="N297" s="19" t="s">
        <v>177</v>
      </c>
      <c r="O297" s="14" t="s">
        <v>175</v>
      </c>
      <c r="P297" s="14" t="s">
        <v>176</v>
      </c>
      <c r="Q297" s="14" t="s">
        <v>175</v>
      </c>
      <c r="R297" s="14" t="s">
        <v>175</v>
      </c>
      <c r="S297" s="14" t="s">
        <v>175</v>
      </c>
      <c r="T297" s="14" t="s">
        <v>175</v>
      </c>
      <c r="U297" s="14" t="s">
        <v>175</v>
      </c>
      <c r="V297" s="14" t="s">
        <v>175</v>
      </c>
      <c r="W297" s="14" t="s">
        <v>176</v>
      </c>
      <c r="X297" s="14" t="s">
        <v>175</v>
      </c>
      <c r="Y297" s="14" t="s">
        <v>175</v>
      </c>
      <c r="Z297" s="14" t="s">
        <v>175</v>
      </c>
      <c r="AL297" t="str">
        <f>IFERROR(_xlfn.XLOOKUP(E297, Branches!$B$2:$B$100, Branches!$C$2:$C$100, "خطأ في الكود"), "")</f>
        <v>Abdul Rahman Mohsen Al Enzi</v>
      </c>
    </row>
    <row r="298" spans="1:38">
      <c r="A298" s="18" t="s">
        <v>410</v>
      </c>
      <c r="B298" s="18">
        <v>80125131</v>
      </c>
      <c r="C298" s="18">
        <v>80125131</v>
      </c>
      <c r="D298" s="18" t="s">
        <v>18</v>
      </c>
      <c r="E298" s="18" t="s">
        <v>51</v>
      </c>
      <c r="F298" s="18" t="s">
        <v>182</v>
      </c>
      <c r="G298" s="18" t="s">
        <v>182</v>
      </c>
      <c r="H298" s="18" t="s">
        <v>182</v>
      </c>
      <c r="I298" s="18" t="s">
        <v>182</v>
      </c>
      <c r="J298" s="18" t="s">
        <v>205</v>
      </c>
      <c r="K298" s="18" t="s">
        <v>176</v>
      </c>
      <c r="L298" s="18" t="s">
        <v>181</v>
      </c>
      <c r="M298" s="18" t="s">
        <v>181</v>
      </c>
      <c r="N298" s="18" t="s">
        <v>181</v>
      </c>
      <c r="O298" s="18" t="s">
        <v>181</v>
      </c>
      <c r="P298" s="18" t="s">
        <v>181</v>
      </c>
      <c r="Q298" s="18" t="s">
        <v>176</v>
      </c>
      <c r="R298" s="15" t="s">
        <v>180</v>
      </c>
      <c r="S298" s="18" t="s">
        <v>181</v>
      </c>
      <c r="T298" s="18" t="s">
        <v>181</v>
      </c>
      <c r="U298" s="18" t="s">
        <v>181</v>
      </c>
      <c r="V298" s="18" t="s">
        <v>176</v>
      </c>
      <c r="W298" s="18" t="s">
        <v>182</v>
      </c>
      <c r="X298" s="18" t="s">
        <v>181</v>
      </c>
      <c r="Y298" s="18" t="s">
        <v>181</v>
      </c>
      <c r="Z298" s="18" t="s">
        <v>176</v>
      </c>
      <c r="AL298" t="str">
        <f>IFERROR(_xlfn.XLOOKUP(E298, Branches!$B$2:$B$100, Branches!$C$2:$C$100, "خطأ في الكود"), "")</f>
        <v>Othman Al Sagri</v>
      </c>
    </row>
    <row r="299" spans="1:38">
      <c r="A299" s="14" t="s">
        <v>411</v>
      </c>
      <c r="B299" s="14">
        <v>80101306</v>
      </c>
      <c r="C299" s="14">
        <v>80101306</v>
      </c>
      <c r="D299" s="18" t="s">
        <v>30</v>
      </c>
      <c r="E299" s="18" t="s">
        <v>105</v>
      </c>
      <c r="F299" s="19" t="s">
        <v>178</v>
      </c>
      <c r="G299" s="14" t="s">
        <v>181</v>
      </c>
      <c r="H299" s="14" t="s">
        <v>181</v>
      </c>
      <c r="I299" s="14" t="s">
        <v>181</v>
      </c>
      <c r="J299" s="14" t="s">
        <v>176</v>
      </c>
      <c r="K299" s="19" t="s">
        <v>178</v>
      </c>
      <c r="L299" s="19" t="s">
        <v>178</v>
      </c>
      <c r="M299" s="14" t="s">
        <v>181</v>
      </c>
      <c r="N299" s="19" t="s">
        <v>178</v>
      </c>
      <c r="O299" s="19" t="s">
        <v>178</v>
      </c>
      <c r="P299" s="19" t="s">
        <v>178</v>
      </c>
      <c r="Q299" s="14" t="s">
        <v>176</v>
      </c>
      <c r="R299" s="19" t="s">
        <v>178</v>
      </c>
      <c r="S299" s="19" t="s">
        <v>178</v>
      </c>
      <c r="T299" s="19" t="s">
        <v>178</v>
      </c>
      <c r="U299" s="19" t="s">
        <v>178</v>
      </c>
      <c r="V299" s="14" t="s">
        <v>181</v>
      </c>
      <c r="W299" s="14" t="s">
        <v>176</v>
      </c>
      <c r="X299" s="19" t="s">
        <v>178</v>
      </c>
      <c r="Y299" s="19" t="s">
        <v>178</v>
      </c>
      <c r="Z299" s="19" t="s">
        <v>178</v>
      </c>
      <c r="AL299" t="str">
        <f>IFERROR(_xlfn.XLOOKUP(E299, Branches!$B$2:$B$100, Branches!$C$2:$C$100, "خطأ في الكود"), "")</f>
        <v>Bandar Garziz</v>
      </c>
    </row>
    <row r="300" spans="1:38">
      <c r="A300" s="18" t="s">
        <v>412</v>
      </c>
      <c r="B300" s="18">
        <v>80087248</v>
      </c>
      <c r="C300" s="18">
        <v>80087248</v>
      </c>
      <c r="D300" s="18" t="s">
        <v>18</v>
      </c>
      <c r="E300" s="18" t="s">
        <v>115</v>
      </c>
      <c r="F300" s="18" t="s">
        <v>175</v>
      </c>
      <c r="G300" s="18" t="s">
        <v>175</v>
      </c>
      <c r="H300" s="18" t="s">
        <v>175</v>
      </c>
      <c r="I300" s="18" t="s">
        <v>176</v>
      </c>
      <c r="J300" s="18" t="s">
        <v>175</v>
      </c>
      <c r="K300" s="18" t="s">
        <v>175</v>
      </c>
      <c r="L300" s="18" t="s">
        <v>175</v>
      </c>
      <c r="M300" s="18" t="s">
        <v>175</v>
      </c>
      <c r="N300" s="19" t="s">
        <v>177</v>
      </c>
      <c r="O300" s="15" t="s">
        <v>189</v>
      </c>
      <c r="P300" s="18" t="s">
        <v>176</v>
      </c>
      <c r="Q300" s="18" t="s">
        <v>175</v>
      </c>
      <c r="R300" s="18" t="s">
        <v>175</v>
      </c>
      <c r="S300" s="18" t="s">
        <v>175</v>
      </c>
      <c r="T300" s="18" t="s">
        <v>175</v>
      </c>
      <c r="U300" s="18" t="s">
        <v>181</v>
      </c>
      <c r="V300" s="18" t="s">
        <v>176</v>
      </c>
      <c r="W300" s="18" t="s">
        <v>181</v>
      </c>
      <c r="X300" s="18" t="s">
        <v>181</v>
      </c>
      <c r="Y300" s="18" t="s">
        <v>181</v>
      </c>
      <c r="Z300" s="18" t="s">
        <v>181</v>
      </c>
      <c r="AL300" t="str">
        <f>IFERROR(_xlfn.XLOOKUP(E300, Branches!$B$2:$B$100, Branches!$C$2:$C$100, "خطأ في الكود"), "")</f>
        <v>Zayed Al Subaie</v>
      </c>
    </row>
    <row r="301" spans="1:38">
      <c r="A301" s="14" t="s">
        <v>413</v>
      </c>
      <c r="B301" s="14">
        <v>80108197</v>
      </c>
      <c r="C301" s="14">
        <v>80108197</v>
      </c>
      <c r="D301" s="18" t="s">
        <v>18</v>
      </c>
      <c r="E301" s="18" t="s">
        <v>121</v>
      </c>
      <c r="F301" s="14" t="s">
        <v>181</v>
      </c>
      <c r="G301" s="14" t="s">
        <v>181</v>
      </c>
      <c r="H301" s="14" t="s">
        <v>181</v>
      </c>
      <c r="I301" s="14" t="s">
        <v>181</v>
      </c>
      <c r="J301" s="14" t="s">
        <v>176</v>
      </c>
      <c r="K301" s="14" t="s">
        <v>277</v>
      </c>
      <c r="L301" s="14" t="s">
        <v>181</v>
      </c>
      <c r="M301" s="14" t="s">
        <v>181</v>
      </c>
      <c r="N301" s="14" t="s">
        <v>181</v>
      </c>
      <c r="O301" s="14" t="s">
        <v>184</v>
      </c>
      <c r="P301" s="14" t="s">
        <v>181</v>
      </c>
      <c r="Q301" s="14" t="s">
        <v>176</v>
      </c>
      <c r="R301" s="14" t="s">
        <v>181</v>
      </c>
      <c r="S301" s="14" t="s">
        <v>277</v>
      </c>
      <c r="T301" s="14" t="s">
        <v>181</v>
      </c>
      <c r="U301" s="14" t="s">
        <v>181</v>
      </c>
      <c r="V301" s="14" t="s">
        <v>181</v>
      </c>
      <c r="W301" s="14" t="s">
        <v>181</v>
      </c>
      <c r="X301" s="14" t="s">
        <v>176</v>
      </c>
      <c r="Y301" s="14" t="s">
        <v>181</v>
      </c>
      <c r="Z301" s="14" t="s">
        <v>181</v>
      </c>
      <c r="AL301" t="str">
        <f>IFERROR(_xlfn.XLOOKUP(E301, Branches!$B$2:$B$100, Branches!$C$2:$C$100, "خطأ في الكود"), "")</f>
        <v>Zayed Al Subaie</v>
      </c>
    </row>
    <row r="302" spans="1:38">
      <c r="A302" s="18" t="s">
        <v>414</v>
      </c>
      <c r="B302" s="18">
        <v>80123622</v>
      </c>
      <c r="C302" s="18">
        <v>80123622</v>
      </c>
      <c r="D302" s="18" t="s">
        <v>18</v>
      </c>
      <c r="E302" s="18" t="s">
        <v>71</v>
      </c>
      <c r="F302" s="19" t="s">
        <v>178</v>
      </c>
      <c r="G302" s="18" t="s">
        <v>181</v>
      </c>
      <c r="H302" s="18" t="s">
        <v>181</v>
      </c>
      <c r="I302" s="18" t="s">
        <v>176</v>
      </c>
      <c r="J302" s="18" t="s">
        <v>181</v>
      </c>
      <c r="K302" s="18" t="s">
        <v>181</v>
      </c>
      <c r="L302" s="19" t="s">
        <v>178</v>
      </c>
      <c r="M302" s="18" t="s">
        <v>181</v>
      </c>
      <c r="N302" s="18" t="s">
        <v>181</v>
      </c>
      <c r="O302" s="18" t="s">
        <v>181</v>
      </c>
      <c r="P302" s="18" t="s">
        <v>176</v>
      </c>
      <c r="Q302" s="15" t="s">
        <v>180</v>
      </c>
      <c r="R302" s="15" t="s">
        <v>180</v>
      </c>
      <c r="S302" s="18" t="s">
        <v>181</v>
      </c>
      <c r="T302" s="18" t="s">
        <v>181</v>
      </c>
      <c r="U302" s="18" t="s">
        <v>181</v>
      </c>
      <c r="V302" s="18" t="s">
        <v>181</v>
      </c>
      <c r="W302" s="18" t="s">
        <v>176</v>
      </c>
      <c r="X302" s="19" t="s">
        <v>178</v>
      </c>
      <c r="Y302" s="18" t="s">
        <v>181</v>
      </c>
      <c r="Z302" s="19" t="s">
        <v>178</v>
      </c>
      <c r="AL302" t="str">
        <f>IFERROR(_xlfn.XLOOKUP(E302, Branches!$B$2:$B$100, Branches!$C$2:$C$100, "خطأ في الكود"), "")</f>
        <v>Zayed Al Subaie</v>
      </c>
    </row>
    <row r="303" spans="1:38">
      <c r="A303" s="14" t="s">
        <v>415</v>
      </c>
      <c r="B303" s="14">
        <v>80118957</v>
      </c>
      <c r="C303" s="14">
        <v>80118957</v>
      </c>
      <c r="D303" s="18" t="s">
        <v>30</v>
      </c>
      <c r="E303" s="18" t="s">
        <v>85</v>
      </c>
      <c r="F303" s="14" t="s">
        <v>175</v>
      </c>
      <c r="G303" s="14" t="s">
        <v>175</v>
      </c>
      <c r="H303" s="14" t="s">
        <v>175</v>
      </c>
      <c r="I303" s="14" t="s">
        <v>176</v>
      </c>
      <c r="J303" s="14" t="s">
        <v>181</v>
      </c>
      <c r="K303" s="14" t="s">
        <v>181</v>
      </c>
      <c r="L303" s="14" t="s">
        <v>181</v>
      </c>
      <c r="M303" s="14" t="s">
        <v>181</v>
      </c>
      <c r="N303" s="14" t="s">
        <v>181</v>
      </c>
      <c r="O303" s="15" t="s">
        <v>180</v>
      </c>
      <c r="P303" s="14" t="s">
        <v>181</v>
      </c>
      <c r="Q303" s="14" t="s">
        <v>176</v>
      </c>
      <c r="R303" s="14" t="s">
        <v>175</v>
      </c>
      <c r="S303" s="14" t="s">
        <v>175</v>
      </c>
      <c r="T303" s="14" t="s">
        <v>175</v>
      </c>
      <c r="U303" s="14" t="s">
        <v>175</v>
      </c>
      <c r="V303" s="14" t="s">
        <v>175</v>
      </c>
      <c r="W303" s="14" t="s">
        <v>176</v>
      </c>
      <c r="X303" s="14" t="s">
        <v>181</v>
      </c>
      <c r="Y303" s="14" t="s">
        <v>181</v>
      </c>
      <c r="Z303" s="14" t="s">
        <v>181</v>
      </c>
      <c r="AL303" t="str">
        <f>IFERROR(_xlfn.XLOOKUP(E303, Branches!$B$2:$B$100, Branches!$C$2:$C$100, "خطأ في الكود"), "")</f>
        <v>Bandar Garziz</v>
      </c>
    </row>
    <row r="304" spans="1:38">
      <c r="A304" s="18" t="s">
        <v>416</v>
      </c>
      <c r="B304" s="18">
        <v>80122081</v>
      </c>
      <c r="C304" s="18">
        <v>80122081</v>
      </c>
      <c r="D304" s="18" t="s">
        <v>41</v>
      </c>
      <c r="E304" s="18" t="s">
        <v>131</v>
      </c>
      <c r="F304" s="18" t="s">
        <v>181</v>
      </c>
      <c r="G304" s="18" t="s">
        <v>181</v>
      </c>
      <c r="H304" s="18" t="s">
        <v>181</v>
      </c>
      <c r="I304" s="18" t="s">
        <v>176</v>
      </c>
      <c r="J304" s="19" t="s">
        <v>178</v>
      </c>
      <c r="K304" s="18" t="s">
        <v>205</v>
      </c>
      <c r="L304" s="18" t="s">
        <v>184</v>
      </c>
      <c r="M304" s="18" t="s">
        <v>205</v>
      </c>
      <c r="N304" s="18" t="s">
        <v>181</v>
      </c>
      <c r="O304" s="18" t="s">
        <v>181</v>
      </c>
      <c r="P304" s="18" t="s">
        <v>176</v>
      </c>
      <c r="Q304" s="18" t="s">
        <v>181</v>
      </c>
      <c r="R304" s="19" t="s">
        <v>178</v>
      </c>
      <c r="S304" s="19" t="s">
        <v>178</v>
      </c>
      <c r="T304" s="19" t="s">
        <v>178</v>
      </c>
      <c r="U304" s="19" t="s">
        <v>178</v>
      </c>
      <c r="V304" s="18" t="s">
        <v>181</v>
      </c>
      <c r="W304" s="18" t="s">
        <v>176</v>
      </c>
      <c r="X304" s="15" t="s">
        <v>180</v>
      </c>
      <c r="Y304" s="19" t="s">
        <v>178</v>
      </c>
      <c r="Z304" s="19" t="s">
        <v>178</v>
      </c>
      <c r="AL304" t="str">
        <f>IFERROR(_xlfn.XLOOKUP(E304, Branches!$B$2:$B$100, Branches!$C$2:$C$100, "خطأ في الكود"), "")</f>
        <v>Mohammed Al - Gahtani</v>
      </c>
    </row>
    <row r="305" spans="1:52">
      <c r="A305" s="14" t="s">
        <v>419</v>
      </c>
      <c r="B305" s="14">
        <v>80127740</v>
      </c>
      <c r="C305" s="14">
        <v>80127740</v>
      </c>
      <c r="D305" s="14" t="s">
        <v>18</v>
      </c>
      <c r="E305" s="14" t="s">
        <v>109</v>
      </c>
      <c r="F305" s="10" t="s">
        <v>179</v>
      </c>
      <c r="G305" s="15" t="s">
        <v>180</v>
      </c>
      <c r="H305" s="15" t="s">
        <v>180</v>
      </c>
      <c r="I305" s="15" t="s">
        <v>180</v>
      </c>
      <c r="J305" s="15" t="s">
        <v>180</v>
      </c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L305" t="str">
        <f>IFERROR(_xlfn.XLOOKUP(E305, Branches!$B$2:$B$100, Branches!$C$2:$C$100, "خطأ في الكود"), "")</f>
        <v>Zayed Al Subaie</v>
      </c>
    </row>
    <row r="306" spans="1:52">
      <c r="A306" s="14" t="s">
        <v>420</v>
      </c>
      <c r="B306" s="14">
        <v>80129748</v>
      </c>
      <c r="C306" s="14">
        <v>80129748</v>
      </c>
      <c r="D306" s="14" t="s">
        <v>18</v>
      </c>
      <c r="E306" s="14" t="s">
        <v>109</v>
      </c>
      <c r="F306" s="15" t="s">
        <v>189</v>
      </c>
      <c r="G306" s="15" t="s">
        <v>189</v>
      </c>
      <c r="H306" s="15" t="s">
        <v>189</v>
      </c>
      <c r="I306" s="17" t="s">
        <v>176</v>
      </c>
      <c r="J306" s="17" t="s">
        <v>176</v>
      </c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L306" t="str">
        <f>IFERROR(_xlfn.XLOOKUP(E306, Branches!$B$2:$B$100, Branches!$C$2:$C$100, "خطأ في الكود"), "")</f>
        <v>Zayed Al Subaie</v>
      </c>
    </row>
    <row r="307" spans="1:52">
      <c r="A307" s="14" t="s">
        <v>421</v>
      </c>
      <c r="B307" s="14">
        <v>80128768</v>
      </c>
      <c r="C307" s="14">
        <v>80128768</v>
      </c>
      <c r="D307" s="14" t="s">
        <v>41</v>
      </c>
      <c r="E307" s="14" t="s">
        <v>59</v>
      </c>
      <c r="F307" s="15" t="s">
        <v>180</v>
      </c>
      <c r="G307" s="15" t="s">
        <v>180</v>
      </c>
      <c r="H307" s="17" t="s">
        <v>176</v>
      </c>
      <c r="I307" s="15" t="s">
        <v>180</v>
      </c>
      <c r="J307" s="15" t="s">
        <v>180</v>
      </c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L307" t="str">
        <f>IFERROR(_xlfn.XLOOKUP(E307, Branches!$B$2:$B$100, Branches!$C$2:$C$100, "خطأ في الكود"), "")</f>
        <v>Mohammed Al - Gahtani</v>
      </c>
    </row>
    <row r="308" spans="1:52">
      <c r="A308" s="14" t="s">
        <v>422</v>
      </c>
      <c r="B308" s="14">
        <v>80128126</v>
      </c>
      <c r="C308" s="14">
        <v>80128126</v>
      </c>
      <c r="D308" s="14" t="s">
        <v>18</v>
      </c>
      <c r="E308" s="14" t="s">
        <v>19</v>
      </c>
      <c r="F308" s="15" t="s">
        <v>180</v>
      </c>
      <c r="G308" s="15" t="s">
        <v>180</v>
      </c>
      <c r="H308" s="15" t="s">
        <v>180</v>
      </c>
      <c r="I308" s="15" t="s">
        <v>180</v>
      </c>
      <c r="J308" s="15" t="s">
        <v>180</v>
      </c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L308" t="str">
        <f>IFERROR(_xlfn.XLOOKUP(E308, Branches!$B$2:$B$100, Branches!$C$2:$C$100, "خطأ في الكود"), "")</f>
        <v>Zayed Al Subaie</v>
      </c>
    </row>
    <row r="309" spans="1:52">
      <c r="A309" s="14" t="s">
        <v>423</v>
      </c>
      <c r="B309" s="14">
        <v>80086770</v>
      </c>
      <c r="C309" s="14">
        <v>80086770</v>
      </c>
      <c r="D309" s="14" t="s">
        <v>30</v>
      </c>
      <c r="E309" s="14" t="s">
        <v>103</v>
      </c>
      <c r="F309" s="15" t="s">
        <v>180</v>
      </c>
      <c r="G309" s="15" t="s">
        <v>180</v>
      </c>
      <c r="H309" s="15" t="s">
        <v>180</v>
      </c>
      <c r="I309" s="18" t="s">
        <v>176</v>
      </c>
      <c r="J309" s="15" t="s">
        <v>180</v>
      </c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L309" t="str">
        <f>IFERROR(_xlfn.XLOOKUP(E309, Branches!$B$2:$B$100, Branches!$C$2:$C$100, "خطأ في الكود"), "")</f>
        <v>Bandar Garziz</v>
      </c>
    </row>
    <row r="310" spans="1:52">
      <c r="A310" s="14" t="s">
        <v>424</v>
      </c>
      <c r="B310" s="14">
        <v>80128954</v>
      </c>
      <c r="C310" s="14">
        <v>80128954</v>
      </c>
      <c r="D310" s="14" t="s">
        <v>30</v>
      </c>
      <c r="E310" s="14" t="s">
        <v>57</v>
      </c>
      <c r="F310" s="15" t="s">
        <v>180</v>
      </c>
      <c r="G310" s="15" t="s">
        <v>180</v>
      </c>
      <c r="H310" s="17" t="s">
        <v>176</v>
      </c>
      <c r="I310" s="15" t="s">
        <v>180</v>
      </c>
      <c r="J310" s="15" t="s">
        <v>180</v>
      </c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L310" t="str">
        <f>IFERROR(_xlfn.XLOOKUP(E310, Branches!$B$2:$B$100, Branches!$C$2:$C$100, "خطأ في الكود"), "")</f>
        <v>Abdul Rahman Mohsen Al Enzi</v>
      </c>
      <c r="AZ310" t="str">
        <f>_xlfn.XLOOKUP(E310, Branches!$B$2:$B$100, Branches!$C$2:$C$100, "خطأ في الكود")</f>
        <v>Abdul Rahman Mohsen Al Enzi</v>
      </c>
    </row>
    <row r="311" spans="1:52">
      <c r="A311" s="14" t="s">
        <v>224</v>
      </c>
      <c r="B311" s="14">
        <v>80102556</v>
      </c>
      <c r="C311" s="14">
        <v>80102556</v>
      </c>
      <c r="D311" s="14" t="s">
        <v>225</v>
      </c>
      <c r="E311" s="14" t="s">
        <v>95</v>
      </c>
      <c r="F311" s="19" t="s">
        <v>178</v>
      </c>
      <c r="G311" s="14" t="s">
        <v>181</v>
      </c>
      <c r="H311" s="14" t="s">
        <v>181</v>
      </c>
      <c r="I311" s="15" t="s">
        <v>180</v>
      </c>
      <c r="J311" s="14" t="s">
        <v>176</v>
      </c>
      <c r="K311" s="15" t="s">
        <v>180</v>
      </c>
      <c r="L311" s="15" t="s">
        <v>180</v>
      </c>
      <c r="M311" s="15" t="s">
        <v>180</v>
      </c>
      <c r="N311" s="15" t="s">
        <v>180</v>
      </c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L311" t="str">
        <f>IFERROR(_xlfn.XLOOKUP(E311, Branches!$B$2:$B$100, Branches!$C$2:$C$100, "خطأ في الكود"), "")</f>
        <v>Zayed Al Subaie</v>
      </c>
      <c r="AZ311" t="str">
        <f>_xlfn.XLOOKUP(E311, Branches!$B$2:$B$100, Branches!$C$2:$C$100, "خطأ في الكود")</f>
        <v>Zayed Al Subaie</v>
      </c>
    </row>
    <row r="312" spans="1:52">
      <c r="A312" s="14" t="s">
        <v>417</v>
      </c>
      <c r="B312" s="14">
        <v>80129019</v>
      </c>
      <c r="C312" s="14">
        <v>80129019</v>
      </c>
      <c r="D312" s="14" t="s">
        <v>46</v>
      </c>
      <c r="E312" s="14" t="s">
        <v>83</v>
      </c>
      <c r="F312" s="15" t="s">
        <v>189</v>
      </c>
      <c r="G312" s="15" t="s">
        <v>189</v>
      </c>
      <c r="H312" s="18" t="s">
        <v>176</v>
      </c>
      <c r="I312" s="15" t="s">
        <v>180</v>
      </c>
      <c r="J312" s="15" t="s">
        <v>180</v>
      </c>
      <c r="K312" s="15" t="s">
        <v>180</v>
      </c>
      <c r="L312" s="15" t="s">
        <v>180</v>
      </c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L312" t="str">
        <f>IFERROR(_xlfn.XLOOKUP(E312, Branches!$B$2:$B$100, Branches!$C$2:$C$100, "خطأ في الكود"), "")</f>
        <v>Musab Hakami</v>
      </c>
      <c r="AZ312" t="str">
        <f>_xlfn.XLOOKUP(E312, Branches!$B$2:$B$100, Branches!$C$2:$C$100, "خطأ في الكود")</f>
        <v>Musab Hakami</v>
      </c>
    </row>
    <row r="313" spans="1:52">
      <c r="A313" s="14" t="s">
        <v>116</v>
      </c>
      <c r="B313" s="14">
        <v>80121513</v>
      </c>
      <c r="C313" s="14">
        <v>80121513</v>
      </c>
      <c r="D313" s="14" t="s">
        <v>18</v>
      </c>
      <c r="E313" s="14" t="s">
        <v>117</v>
      </c>
      <c r="F313" s="18" t="s">
        <v>175</v>
      </c>
      <c r="G313" s="19" t="s">
        <v>177</v>
      </c>
      <c r="H313" s="19" t="s">
        <v>177</v>
      </c>
      <c r="I313" s="19" t="s">
        <v>178</v>
      </c>
      <c r="J313" s="18" t="s">
        <v>176</v>
      </c>
      <c r="K313" s="18" t="s">
        <v>181</v>
      </c>
      <c r="L313" s="15" t="s">
        <v>180</v>
      </c>
      <c r="M313" s="15" t="s">
        <v>180</v>
      </c>
      <c r="N313" s="15" t="s">
        <v>180</v>
      </c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L313" t="str">
        <f>IFERROR(_xlfn.XLOOKUP(E313, Branches!$B$2:$B$100, Branches!$C$2:$C$100, "خطأ في الكود"), "")</f>
        <v>Zayed Al Subaie</v>
      </c>
      <c r="AZ313" t="str">
        <f>_xlfn.XLOOKUP(E313, Branches!$B$2:$B$100, Branches!$C$2:$C$100, "خطأ في الكود")</f>
        <v>Zayed Al Subaie</v>
      </c>
    </row>
    <row r="314" spans="1:52">
      <c r="A314" s="14" t="s">
        <v>418</v>
      </c>
      <c r="B314" s="14">
        <v>80126691</v>
      </c>
      <c r="C314" s="14">
        <v>80126691</v>
      </c>
      <c r="D314" s="14" t="s">
        <v>46</v>
      </c>
      <c r="E314" s="14" t="s">
        <v>161</v>
      </c>
      <c r="F314" s="15" t="s">
        <v>180</v>
      </c>
      <c r="G314" s="15" t="s">
        <v>180</v>
      </c>
      <c r="H314" s="18" t="s">
        <v>176</v>
      </c>
      <c r="I314" s="15" t="s">
        <v>180</v>
      </c>
      <c r="J314" s="15" t="s">
        <v>180</v>
      </c>
      <c r="K314" s="15" t="s">
        <v>180</v>
      </c>
      <c r="L314" s="15" t="s">
        <v>180</v>
      </c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L314" t="str">
        <f>IFERROR(_xlfn.XLOOKUP(E314, Branches!$B$2:$B$100, Branches!$C$2:$C$100, "خطأ في الكود"), "")</f>
        <v>Musab Hakami</v>
      </c>
      <c r="AZ314" t="str">
        <f>_xlfn.XLOOKUP(E314, Branches!$B$2:$B$100, Branches!$C$2:$C$100, "خطأ في الكود")</f>
        <v>Musab Hakami</v>
      </c>
    </row>
    <row r="315" spans="1:52">
      <c r="A315" s="14" t="s">
        <v>114</v>
      </c>
      <c r="B315" s="14">
        <v>80127739</v>
      </c>
      <c r="C315" s="14">
        <v>80127739</v>
      </c>
      <c r="D315" s="14" t="s">
        <v>18</v>
      </c>
      <c r="E315" s="14" t="s">
        <v>115</v>
      </c>
      <c r="F315" s="18" t="s">
        <v>181</v>
      </c>
      <c r="G315" s="18" t="s">
        <v>181</v>
      </c>
      <c r="H315" s="18" t="s">
        <v>181</v>
      </c>
      <c r="I315" s="18" t="s">
        <v>181</v>
      </c>
      <c r="J315" s="18" t="s">
        <v>176</v>
      </c>
      <c r="K315" s="19" t="s">
        <v>178</v>
      </c>
      <c r="L315" s="15" t="s">
        <v>180</v>
      </c>
      <c r="M315" s="15" t="s">
        <v>180</v>
      </c>
      <c r="N315" s="15" t="s">
        <v>180</v>
      </c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L315" t="str">
        <f>IFERROR(_xlfn.XLOOKUP(E315, Branches!$B$2:$B$100, Branches!$C$2:$C$100, "خطأ في الكود"), "")</f>
        <v>Zayed Al Subaie</v>
      </c>
      <c r="AZ315" t="str">
        <f>_xlfn.XLOOKUP(E315, Branches!$B$2:$B$100, Branches!$C$2:$C$100, "خطأ في الكود")</f>
        <v>Zayed Al Subaie</v>
      </c>
    </row>
    <row r="316" spans="1:52">
      <c r="AL316">
        <f>IFERROR(_xlfn.XLOOKUP(E316, Branches!$B$2:$B$100, Branches!$C$2:$C$100, "خطأ في الكود"), "")</f>
        <v>0</v>
      </c>
      <c r="AZ316">
        <f>_xlfn.XLOOKUP(E316, Branches!$B$2:$B$100, Branches!$C$2:$C$100, "خطأ في الكود")</f>
        <v>0</v>
      </c>
    </row>
    <row r="317" spans="1:52">
      <c r="AL317">
        <f>IFERROR(_xlfn.XLOOKUP(E317, Branches!$B$2:$B$100, Branches!$C$2:$C$100, "خطأ في الكود"), "")</f>
        <v>0</v>
      </c>
      <c r="AZ317">
        <f>_xlfn.XLOOKUP(E317, Branches!$B$2:$B$100, Branches!$C$2:$C$100, "خطأ في الكود")</f>
        <v>0</v>
      </c>
    </row>
    <row r="318" spans="1:52">
      <c r="AL318">
        <f>IFERROR(_xlfn.XLOOKUP(E318, Branches!$B$2:$B$100, Branches!$C$2:$C$100, "خطأ في الكود"), "")</f>
        <v>0</v>
      </c>
      <c r="AZ318">
        <f>_xlfn.XLOOKUP(E318, Branches!$B$2:$B$100, Branches!$C$2:$C$100, "خطأ في الكود")</f>
        <v>0</v>
      </c>
    </row>
    <row r="319" spans="1:52">
      <c r="AL319">
        <f>IFERROR(_xlfn.XLOOKUP(E319, Branches!$B$2:$B$100, Branches!$C$2:$C$100, "خطأ في الكود"), "")</f>
        <v>0</v>
      </c>
      <c r="AZ319">
        <f>_xlfn.XLOOKUP(E319, Branches!$B$2:$B$100, Branches!$C$2:$C$100, "خطأ في الكود")</f>
        <v>0</v>
      </c>
    </row>
    <row r="320" spans="1:52">
      <c r="AL320">
        <f>IFERROR(_xlfn.XLOOKUP(E320, Branches!$B$2:$B$100, Branches!$C$2:$C$100, "خطأ في الكود"), "")</f>
        <v>0</v>
      </c>
      <c r="AZ320">
        <f>_xlfn.XLOOKUP(E320, Branches!$B$2:$B$100, Branches!$C$2:$C$100, "خطأ في الكود")</f>
        <v>0</v>
      </c>
    </row>
    <row r="321" spans="38:52">
      <c r="AL321">
        <f>IFERROR(_xlfn.XLOOKUP(E321, Branches!$B$2:$B$100, Branches!$C$2:$C$100, "خطأ في الكود"), "")</f>
        <v>0</v>
      </c>
      <c r="AZ321">
        <f>_xlfn.XLOOKUP(E321, Branches!$B$2:$B$100, Branches!$C$2:$C$100, "خطأ في الكود")</f>
        <v>0</v>
      </c>
    </row>
    <row r="322" spans="38:52">
      <c r="AL322">
        <f>IFERROR(_xlfn.XLOOKUP(E322, Branches!$B$2:$B$100, Branches!$C$2:$C$100, "خطأ في الكود"), "")</f>
        <v>0</v>
      </c>
      <c r="AZ322">
        <f>_xlfn.XLOOKUP(E322, Branches!$B$2:$B$100, Branches!$C$2:$C$100, "خطأ في الكود")</f>
        <v>0</v>
      </c>
    </row>
    <row r="323" spans="38:52">
      <c r="AL323">
        <f>IFERROR(_xlfn.XLOOKUP(E323, Branches!$B$2:$B$100, Branches!$C$2:$C$100, "خطأ في الكود"), "")</f>
        <v>0</v>
      </c>
      <c r="AZ323">
        <f>_xlfn.XLOOKUP(E323, Branches!$B$2:$B$100, Branches!$C$2:$C$100, "خطأ في الكود")</f>
        <v>0</v>
      </c>
    </row>
    <row r="324" spans="38:52">
      <c r="AL324">
        <f>IFERROR(_xlfn.XLOOKUP(E324, Branches!$B$2:$B$100, Branches!$C$2:$C$100, "خطأ في الكود"), "")</f>
        <v>0</v>
      </c>
      <c r="AZ324">
        <f>_xlfn.XLOOKUP(E324, Branches!$B$2:$B$100, Branches!$C$2:$C$100, "خطأ في الكود")</f>
        <v>0</v>
      </c>
    </row>
    <row r="325" spans="38:52">
      <c r="AL325">
        <f>IFERROR(_xlfn.XLOOKUP(E325, Branches!$B$2:$B$100, Branches!$C$2:$C$100, "خطأ في الكود"), "")</f>
        <v>0</v>
      </c>
      <c r="AZ325">
        <f>_xlfn.XLOOKUP(E325, Branches!$B$2:$B$100, Branches!$C$2:$C$100, "خطأ في الكود")</f>
        <v>0</v>
      </c>
    </row>
    <row r="326" spans="38:52">
      <c r="AL326">
        <f>IFERROR(_xlfn.XLOOKUP(E326, Branches!$B$2:$B$100, Branches!$C$2:$C$100, "خطأ في الكود"), "")</f>
        <v>0</v>
      </c>
      <c r="AZ326">
        <f>_xlfn.XLOOKUP(E326, Branches!$B$2:$B$100, Branches!$C$2:$C$100, "خطأ في الكود")</f>
        <v>0</v>
      </c>
    </row>
    <row r="327" spans="38:52">
      <c r="AL327">
        <f>IFERROR(_xlfn.XLOOKUP(E327, Branches!$B$2:$B$100, Branches!$C$2:$C$100, "خطأ في الكود"), "")</f>
        <v>0</v>
      </c>
      <c r="AZ327">
        <f>_xlfn.XLOOKUP(E327, Branches!$B$2:$B$100, Branches!$C$2:$C$100, "خطأ في الكود")</f>
        <v>0</v>
      </c>
    </row>
    <row r="328" spans="38:52">
      <c r="AL328">
        <f>IFERROR(_xlfn.XLOOKUP(E328, Branches!$B$2:$B$100, Branches!$C$2:$C$100, "خطأ في الكود"), "")</f>
        <v>0</v>
      </c>
      <c r="AZ328">
        <f>_xlfn.XLOOKUP(E328, Branches!$B$2:$B$100, Branches!$C$2:$C$100, "خطأ في الكود")</f>
        <v>0</v>
      </c>
    </row>
    <row r="329" spans="38:52">
      <c r="AL329">
        <f>IFERROR(_xlfn.XLOOKUP(E329, Branches!$B$2:$B$100, Branches!$C$2:$C$100, "خطأ في الكود"), "")</f>
        <v>0</v>
      </c>
      <c r="AZ329">
        <f>_xlfn.XLOOKUP(E329, Branches!$B$2:$B$100, Branches!$C$2:$C$100, "خطأ في الكود")</f>
        <v>0</v>
      </c>
    </row>
    <row r="330" spans="38:52">
      <c r="AL330">
        <f>IFERROR(_xlfn.XLOOKUP(E330, Branches!$B$2:$B$100, Branches!$C$2:$C$100, "خطأ في الكود"), "")</f>
        <v>0</v>
      </c>
      <c r="AZ330">
        <f>_xlfn.XLOOKUP(E330, Branches!$B$2:$B$100, Branches!$C$2:$C$100, "خطأ في الكود")</f>
        <v>0</v>
      </c>
    </row>
    <row r="331" spans="38:52">
      <c r="AL331">
        <f>IFERROR(_xlfn.XLOOKUP(E331, Branches!$B$2:$B$100, Branches!$C$2:$C$100, "خطأ في الكود"), "")</f>
        <v>0</v>
      </c>
      <c r="AZ331">
        <f>_xlfn.XLOOKUP(E331, Branches!$B$2:$B$100, Branches!$C$2:$C$100, "خطأ في الكود")</f>
        <v>0</v>
      </c>
    </row>
    <row r="332" spans="38:52">
      <c r="AL332">
        <f>IFERROR(_xlfn.XLOOKUP(E332, Branches!$B$2:$B$100, Branches!$C$2:$C$100, "خطأ في الكود"), "")</f>
        <v>0</v>
      </c>
      <c r="AZ332">
        <f>_xlfn.XLOOKUP(E332, Branches!$B$2:$B$100, Branches!$C$2:$C$100, "خطأ في الكود")</f>
        <v>0</v>
      </c>
    </row>
    <row r="333" spans="38:52">
      <c r="AL333">
        <f>IFERROR(_xlfn.XLOOKUP(E333, Branches!$B$2:$B$100, Branches!$C$2:$C$100, "خطأ في الكود"), "")</f>
        <v>0</v>
      </c>
      <c r="AZ333">
        <f>_xlfn.XLOOKUP(E333, Branches!$B$2:$B$100, Branches!$C$2:$C$100, "خطأ في الكود")</f>
        <v>0</v>
      </c>
    </row>
    <row r="334" spans="38:52">
      <c r="AL334">
        <f>IFERROR(_xlfn.XLOOKUP(E334, Branches!$B$2:$B$100, Branches!$C$2:$C$100, "خطأ في الكود"), "")</f>
        <v>0</v>
      </c>
      <c r="AZ334">
        <f>_xlfn.XLOOKUP(E334, Branches!$B$2:$B$100, Branches!$C$2:$C$100, "خطأ في الكود")</f>
        <v>0</v>
      </c>
    </row>
    <row r="335" spans="38:52">
      <c r="AL335">
        <f>IFERROR(_xlfn.XLOOKUP(E335, Branches!$B$2:$B$100, Branches!$C$2:$C$100, "خطأ في الكود"), "")</f>
        <v>0</v>
      </c>
      <c r="AZ335">
        <f>_xlfn.XLOOKUP(E335, Branches!$B$2:$B$100, Branches!$C$2:$C$100, "خطأ في الكود")</f>
        <v>0</v>
      </c>
    </row>
    <row r="336" spans="38:52">
      <c r="AL336">
        <f>IFERROR(_xlfn.XLOOKUP(E336, Branches!$B$2:$B$100, Branches!$C$2:$C$100, "خطأ في الكود"), "")</f>
        <v>0</v>
      </c>
      <c r="AZ336">
        <f>_xlfn.XLOOKUP(E336, Branches!$B$2:$B$100, Branches!$C$2:$C$100, "خطأ في الكود")</f>
        <v>0</v>
      </c>
    </row>
    <row r="337" spans="38:52">
      <c r="AL337">
        <f>IFERROR(_xlfn.XLOOKUP(E337, Branches!$B$2:$B$100, Branches!$C$2:$C$100, "خطأ في الكود"), "")</f>
        <v>0</v>
      </c>
      <c r="AZ337">
        <f>_xlfn.XLOOKUP(E337, Branches!$B$2:$B$100, Branches!$C$2:$C$100, "خطأ في الكود")</f>
        <v>0</v>
      </c>
    </row>
    <row r="338" spans="38:52">
      <c r="AL338">
        <f>IFERROR(_xlfn.XLOOKUP(E338, Branches!$B$2:$B$100, Branches!$C$2:$C$100, "خطأ في الكود"), "")</f>
        <v>0</v>
      </c>
      <c r="AZ338">
        <f>_xlfn.XLOOKUP(E338, Branches!$B$2:$B$100, Branches!$C$2:$C$100, "خطأ في الكود")</f>
        <v>0</v>
      </c>
    </row>
    <row r="339" spans="38:52">
      <c r="AL339">
        <f>IFERROR(_xlfn.XLOOKUP(E339, Branches!$B$2:$B$100, Branches!$C$2:$C$100, "خطأ في الكود"), "")</f>
        <v>0</v>
      </c>
      <c r="AZ339">
        <f>_xlfn.XLOOKUP(E339, Branches!$B$2:$B$100, Branches!$C$2:$C$100, "خطأ في الكود")</f>
        <v>0</v>
      </c>
    </row>
    <row r="340" spans="38:52">
      <c r="AL340">
        <f>IFERROR(_xlfn.XLOOKUP(E340, Branches!$B$2:$B$100, Branches!$C$2:$C$100, "خطأ في الكود"), "")</f>
        <v>0</v>
      </c>
      <c r="AZ340">
        <f>_xlfn.XLOOKUP(E340, Branches!$B$2:$B$100, Branches!$C$2:$C$100, "خطأ في الكود")</f>
        <v>0</v>
      </c>
    </row>
    <row r="341" spans="38:52">
      <c r="AL341">
        <f>IFERROR(_xlfn.XLOOKUP(E341, Branches!$B$2:$B$100, Branches!$C$2:$C$100, "خطأ في الكود"), "")</f>
        <v>0</v>
      </c>
      <c r="AZ341">
        <f>_xlfn.XLOOKUP(E341, Branches!$B$2:$B$100, Branches!$C$2:$C$100, "خطأ في الكود")</f>
        <v>0</v>
      </c>
    </row>
    <row r="342" spans="38:52">
      <c r="AL342">
        <f>IFERROR(_xlfn.XLOOKUP(E342, Branches!$B$2:$B$100, Branches!$C$2:$C$100, "خطأ في الكود"), "")</f>
        <v>0</v>
      </c>
      <c r="AZ342">
        <f>_xlfn.XLOOKUP(E342, Branches!$B$2:$B$100, Branches!$C$2:$C$100, "خطأ في الكود")</f>
        <v>0</v>
      </c>
    </row>
    <row r="343" spans="38:52">
      <c r="AL343">
        <f>IFERROR(_xlfn.XLOOKUP(E343, Branches!$B$2:$B$100, Branches!$C$2:$C$100, "خطأ في الكود"), "")</f>
        <v>0</v>
      </c>
      <c r="AZ343">
        <f>_xlfn.XLOOKUP(E343, Branches!$B$2:$B$100, Branches!$C$2:$C$100, "خطأ في الكود")</f>
        <v>0</v>
      </c>
    </row>
    <row r="344" spans="38:52">
      <c r="AL344">
        <f>IFERROR(_xlfn.XLOOKUP(E344, Branches!$B$2:$B$100, Branches!$C$2:$C$100, "خطأ في الكود"), "")</f>
        <v>0</v>
      </c>
      <c r="AZ344">
        <f>_xlfn.XLOOKUP(E344, Branches!$B$2:$B$100, Branches!$C$2:$C$100, "خطأ في الكود")</f>
        <v>0</v>
      </c>
    </row>
    <row r="345" spans="38:52">
      <c r="AL345">
        <f>IFERROR(_xlfn.XLOOKUP(E345, Branches!$B$2:$B$100, Branches!$C$2:$C$100, "خطأ في الكود"), "")</f>
        <v>0</v>
      </c>
      <c r="AZ345">
        <f>_xlfn.XLOOKUP(E345, Branches!$B$2:$B$100, Branches!$C$2:$C$100, "خطأ في الكود")</f>
        <v>0</v>
      </c>
    </row>
    <row r="346" spans="38:52">
      <c r="AL346">
        <f>IFERROR(_xlfn.XLOOKUP(E346, Branches!$B$2:$B$100, Branches!$C$2:$C$100, "خطأ في الكود"), "")</f>
        <v>0</v>
      </c>
      <c r="AZ346">
        <f>_xlfn.XLOOKUP(E346, Branches!$B$2:$B$100, Branches!$C$2:$C$100, "خطأ في الكود")</f>
        <v>0</v>
      </c>
    </row>
    <row r="347" spans="38:52">
      <c r="AL347">
        <f>IFERROR(_xlfn.XLOOKUP(E347, Branches!$B$2:$B$100, Branches!$C$2:$C$100, "خطأ في الكود"), "")</f>
        <v>0</v>
      </c>
      <c r="AZ347">
        <f>_xlfn.XLOOKUP(E347, Branches!$B$2:$B$100, Branches!$C$2:$C$100, "خطأ في الكود")</f>
        <v>0</v>
      </c>
    </row>
    <row r="348" spans="38:52">
      <c r="AL348">
        <f>IFERROR(_xlfn.XLOOKUP(E348, Branches!$B$2:$B$100, Branches!$C$2:$C$100, "خطأ في الكود"), "")</f>
        <v>0</v>
      </c>
      <c r="AZ348">
        <f>_xlfn.XLOOKUP(E348, Branches!$B$2:$B$100, Branches!$C$2:$C$100, "خطأ في الكود")</f>
        <v>0</v>
      </c>
    </row>
    <row r="349" spans="38:52">
      <c r="AL349">
        <f>IFERROR(_xlfn.XLOOKUP(E349, Branches!$B$2:$B$100, Branches!$C$2:$C$100, "خطأ في الكود"), "")</f>
        <v>0</v>
      </c>
      <c r="AZ349">
        <f>_xlfn.XLOOKUP(E349, Branches!$B$2:$B$100, Branches!$C$2:$C$100, "خطأ في الكود")</f>
        <v>0</v>
      </c>
    </row>
    <row r="350" spans="38:52">
      <c r="AL350">
        <f>IFERROR(_xlfn.XLOOKUP(E350, Branches!$B$2:$B$100, Branches!$C$2:$C$100, "خطأ في الكود"), "")</f>
        <v>0</v>
      </c>
      <c r="AZ350">
        <f>_xlfn.XLOOKUP(E350, Branches!$B$2:$B$100, Branches!$C$2:$C$100, "خطأ في الكود")</f>
        <v>0</v>
      </c>
    </row>
    <row r="351" spans="38:52">
      <c r="AL351">
        <f>IFERROR(_xlfn.XLOOKUP(E351, Branches!$B$2:$B$100, Branches!$C$2:$C$100, "خطأ في الكود"), "")</f>
        <v>0</v>
      </c>
      <c r="AZ351">
        <f>_xlfn.XLOOKUP(E351, Branches!$B$2:$B$100, Branches!$C$2:$C$100, "خطأ في الكود")</f>
        <v>0</v>
      </c>
    </row>
    <row r="352" spans="38:52">
      <c r="AL352">
        <f>IFERROR(_xlfn.XLOOKUP(E352, Branches!$B$2:$B$100, Branches!$C$2:$C$100, "خطأ في الكود"), "")</f>
        <v>0</v>
      </c>
      <c r="AZ352">
        <f>_xlfn.XLOOKUP(E352, Branches!$B$2:$B$100, Branches!$C$2:$C$100, "خطأ في الكود")</f>
        <v>0</v>
      </c>
    </row>
    <row r="353" spans="38:52">
      <c r="AL353">
        <f>IFERROR(_xlfn.XLOOKUP(E353, Branches!$B$2:$B$100, Branches!$C$2:$C$100, "خطأ في الكود"), "")</f>
        <v>0</v>
      </c>
      <c r="AZ353">
        <f>_xlfn.XLOOKUP(E353, Branches!$B$2:$B$100, Branches!$C$2:$C$100, "خطأ في الكود")</f>
        <v>0</v>
      </c>
    </row>
    <row r="354" spans="38:52">
      <c r="AL354">
        <f>IFERROR(_xlfn.XLOOKUP(E354, Branches!$B$2:$B$100, Branches!$C$2:$C$100, "خطأ في الكود"), "")</f>
        <v>0</v>
      </c>
      <c r="AZ354">
        <f>_xlfn.XLOOKUP(E354, Branches!$B$2:$B$100, Branches!$C$2:$C$100, "خطأ في الكود")</f>
        <v>0</v>
      </c>
    </row>
    <row r="355" spans="38:52">
      <c r="AL355">
        <f>IFERROR(_xlfn.XLOOKUP(E355, Branches!$B$2:$B$100, Branches!$C$2:$C$100, "خطأ في الكود"), "")</f>
        <v>0</v>
      </c>
      <c r="AZ355">
        <f>_xlfn.XLOOKUP(E355, Branches!$B$2:$B$100, Branches!$C$2:$C$100, "خطأ في الكود")</f>
        <v>0</v>
      </c>
    </row>
    <row r="356" spans="38:52">
      <c r="AL356">
        <f>IFERROR(_xlfn.XLOOKUP(E356, Branches!$B$2:$B$100, Branches!$C$2:$C$100, "خطأ في الكود"), "")</f>
        <v>0</v>
      </c>
      <c r="AZ356">
        <f>_xlfn.XLOOKUP(E356, Branches!$B$2:$B$100, Branches!$C$2:$C$100, "خطأ في الكود")</f>
        <v>0</v>
      </c>
    </row>
    <row r="357" spans="38:52">
      <c r="AL357">
        <f>IFERROR(_xlfn.XLOOKUP(E357, Branches!$B$2:$B$100, Branches!$C$2:$C$100, "خطأ في الكود"), "")</f>
        <v>0</v>
      </c>
      <c r="AZ357">
        <f>_xlfn.XLOOKUP(E357, Branches!$B$2:$B$100, Branches!$C$2:$C$100, "خطأ في الكود")</f>
        <v>0</v>
      </c>
    </row>
    <row r="358" spans="38:52">
      <c r="AL358">
        <f>IFERROR(_xlfn.XLOOKUP(E358, Branches!$B$2:$B$100, Branches!$C$2:$C$100, "خطأ في الكود"), "")</f>
        <v>0</v>
      </c>
      <c r="AZ358">
        <f>_xlfn.XLOOKUP(E358, Branches!$B$2:$B$100, Branches!$C$2:$C$100, "خطأ في الكود")</f>
        <v>0</v>
      </c>
    </row>
    <row r="359" spans="38:52">
      <c r="AL359">
        <f>IFERROR(_xlfn.XLOOKUP(E359, Branches!$B$2:$B$100, Branches!$C$2:$C$100, "خطأ في الكود"), "")</f>
        <v>0</v>
      </c>
      <c r="AZ359">
        <f>_xlfn.XLOOKUP(E359, Branches!$B$2:$B$100, Branches!$C$2:$C$100, "خطأ في الكود")</f>
        <v>0</v>
      </c>
    </row>
    <row r="360" spans="38:52">
      <c r="AL360">
        <f>IFERROR(_xlfn.XLOOKUP(E360, Branches!$B$2:$B$100, Branches!$C$2:$C$100, "خطأ في الكود"), "")</f>
        <v>0</v>
      </c>
      <c r="AZ360">
        <f>_xlfn.XLOOKUP(E360, Branches!$B$2:$B$100, Branches!$C$2:$C$100, "خطأ في الكود")</f>
        <v>0</v>
      </c>
    </row>
    <row r="361" spans="38:52">
      <c r="AL361">
        <f>IFERROR(_xlfn.XLOOKUP(E361, Branches!$B$2:$B$100, Branches!$C$2:$C$100, "خطأ في الكود"), "")</f>
        <v>0</v>
      </c>
      <c r="AZ361">
        <f>_xlfn.XLOOKUP(E361, Branches!$B$2:$B$100, Branches!$C$2:$C$100, "خطأ في الكود")</f>
        <v>0</v>
      </c>
    </row>
    <row r="362" spans="38:52">
      <c r="AL362">
        <f>IFERROR(_xlfn.XLOOKUP(E362, Branches!$B$2:$B$100, Branches!$C$2:$C$100, "خطأ في الكود"), "")</f>
        <v>0</v>
      </c>
      <c r="AZ362">
        <f>_xlfn.XLOOKUP(E362, Branches!$B$2:$B$100, Branches!$C$2:$C$100, "خطأ في الكود")</f>
        <v>0</v>
      </c>
    </row>
    <row r="363" spans="38:52">
      <c r="AL363">
        <f>IFERROR(_xlfn.XLOOKUP(E363, Branches!$B$2:$B$100, Branches!$C$2:$C$100, "خطأ في الكود"), "")</f>
        <v>0</v>
      </c>
      <c r="AZ363">
        <f>_xlfn.XLOOKUP(E363, Branches!$B$2:$B$100, Branches!$C$2:$C$100, "خطأ في الكود")</f>
        <v>0</v>
      </c>
    </row>
    <row r="364" spans="38:52">
      <c r="AL364">
        <f>IFERROR(_xlfn.XLOOKUP(E364, Branches!$B$2:$B$100, Branches!$C$2:$C$100, "خطأ في الكود"), "")</f>
        <v>0</v>
      </c>
      <c r="AZ364">
        <f>_xlfn.XLOOKUP(E364, Branches!$B$2:$B$100, Branches!$C$2:$C$100, "خطأ في الكود")</f>
        <v>0</v>
      </c>
    </row>
    <row r="365" spans="38:52">
      <c r="AL365">
        <f>IFERROR(_xlfn.XLOOKUP(E365, Branches!$B$2:$B$100, Branches!$C$2:$C$100, "خطأ في الكود"), "")</f>
        <v>0</v>
      </c>
      <c r="AZ365">
        <f>_xlfn.XLOOKUP(E365, Branches!$B$2:$B$100, Branches!$C$2:$C$100, "خطأ في الكود")</f>
        <v>0</v>
      </c>
    </row>
    <row r="366" spans="38:52">
      <c r="AL366">
        <f>IFERROR(_xlfn.XLOOKUP(E366, Branches!$B$2:$B$100, Branches!$C$2:$C$100, "خطأ في الكود"), "")</f>
        <v>0</v>
      </c>
      <c r="AZ366">
        <f>_xlfn.XLOOKUP(E366, Branches!$B$2:$B$100, Branches!$C$2:$C$100, "خطأ في الكود")</f>
        <v>0</v>
      </c>
    </row>
    <row r="367" spans="38:52">
      <c r="AL367">
        <f>IFERROR(_xlfn.XLOOKUP(E367, Branches!$B$2:$B$100, Branches!$C$2:$C$100, "خطأ في الكود"), "")</f>
        <v>0</v>
      </c>
      <c r="AZ367">
        <f>_xlfn.XLOOKUP(E367, Branches!$B$2:$B$100, Branches!$C$2:$C$100, "خطأ في الكود")</f>
        <v>0</v>
      </c>
    </row>
    <row r="368" spans="38:52">
      <c r="AL368">
        <f>IFERROR(_xlfn.XLOOKUP(E368, Branches!$B$2:$B$100, Branches!$C$2:$C$100, "خطأ في الكود"), "")</f>
        <v>0</v>
      </c>
      <c r="AZ368">
        <f>_xlfn.XLOOKUP(E368, Branches!$B$2:$B$100, Branches!$C$2:$C$100, "خطأ في الكود")</f>
        <v>0</v>
      </c>
    </row>
    <row r="369" spans="38:52">
      <c r="AL369">
        <f>IFERROR(_xlfn.XLOOKUP(E369, Branches!$B$2:$B$100, Branches!$C$2:$C$100, "خطأ في الكود"), "")</f>
        <v>0</v>
      </c>
      <c r="AZ369">
        <f>_xlfn.XLOOKUP(E369, Branches!$B$2:$B$100, Branches!$C$2:$C$100, "خطأ في الكود")</f>
        <v>0</v>
      </c>
    </row>
    <row r="370" spans="38:52">
      <c r="AL370">
        <f>IFERROR(_xlfn.XLOOKUP(E370, Branches!$B$2:$B$100, Branches!$C$2:$C$100, "خطأ في الكود"), "")</f>
        <v>0</v>
      </c>
      <c r="AZ370">
        <f>_xlfn.XLOOKUP(E370, Branches!$B$2:$B$100, Branches!$C$2:$C$100, "خطأ في الكود")</f>
        <v>0</v>
      </c>
    </row>
    <row r="371" spans="38:52">
      <c r="AL371">
        <f>IFERROR(_xlfn.XLOOKUP(E371, Branches!$B$2:$B$100, Branches!$C$2:$C$100, "خطأ في الكود"), "")</f>
        <v>0</v>
      </c>
      <c r="AZ371">
        <f>_xlfn.XLOOKUP(E371, Branches!$B$2:$B$100, Branches!$C$2:$C$100, "خطأ في الكود")</f>
        <v>0</v>
      </c>
    </row>
    <row r="372" spans="38:52">
      <c r="AL372">
        <f>IFERROR(_xlfn.XLOOKUP(E372, Branches!$B$2:$B$100, Branches!$C$2:$C$100, "خطأ في الكود"), "")</f>
        <v>0</v>
      </c>
      <c r="AZ372">
        <f>_xlfn.XLOOKUP(E372, Branches!$B$2:$B$100, Branches!$C$2:$C$100, "خطأ في الكود")</f>
        <v>0</v>
      </c>
    </row>
    <row r="373" spans="38:52">
      <c r="AL373">
        <f>IFERROR(_xlfn.XLOOKUP(E373, Branches!$B$2:$B$100, Branches!$C$2:$C$100, "خطأ في الكود"), "")</f>
        <v>0</v>
      </c>
      <c r="AZ373">
        <f>_xlfn.XLOOKUP(E373, Branches!$B$2:$B$100, Branches!$C$2:$C$100, "خطأ في الكود")</f>
        <v>0</v>
      </c>
    </row>
    <row r="374" spans="38:52">
      <c r="AL374">
        <f>IFERROR(_xlfn.XLOOKUP(E374, Branches!$B$2:$B$100, Branches!$C$2:$C$100, "خطأ في الكود"), "")</f>
        <v>0</v>
      </c>
      <c r="AZ374">
        <f>_xlfn.XLOOKUP(E374, Branches!$B$2:$B$100, Branches!$C$2:$C$100, "خطأ في الكود")</f>
        <v>0</v>
      </c>
    </row>
    <row r="375" spans="38:52">
      <c r="AL375">
        <f>IFERROR(_xlfn.XLOOKUP(E375, Branches!$B$2:$B$100, Branches!$C$2:$C$100, "خطأ في الكود"), "")</f>
        <v>0</v>
      </c>
      <c r="AZ375">
        <f>_xlfn.XLOOKUP(E375, Branches!$B$2:$B$100, Branches!$C$2:$C$100, "خطأ في الكود")</f>
        <v>0</v>
      </c>
    </row>
    <row r="376" spans="38:52">
      <c r="AL376">
        <f>IFERROR(_xlfn.XLOOKUP(E376, Branches!$B$2:$B$100, Branches!$C$2:$C$100, "خطأ في الكود"), "")</f>
        <v>0</v>
      </c>
      <c r="AZ376">
        <f>_xlfn.XLOOKUP(E376, Branches!$B$2:$B$100, Branches!$C$2:$C$100, "خطأ في الكود")</f>
        <v>0</v>
      </c>
    </row>
    <row r="377" spans="38:52">
      <c r="AL377">
        <f>IFERROR(_xlfn.XLOOKUP(E377, Branches!$B$2:$B$100, Branches!$C$2:$C$100, "خطأ في الكود"), "")</f>
        <v>0</v>
      </c>
      <c r="AZ377">
        <f>_xlfn.XLOOKUP(E377, Branches!$B$2:$B$100, Branches!$C$2:$C$100, "خطأ في الكود")</f>
        <v>0</v>
      </c>
    </row>
    <row r="378" spans="38:52">
      <c r="AL378">
        <f>IFERROR(_xlfn.XLOOKUP(E378, Branches!$B$2:$B$100, Branches!$C$2:$C$100, "خطأ في الكود"), "")</f>
        <v>0</v>
      </c>
      <c r="AZ378">
        <f>_xlfn.XLOOKUP(E378, Branches!$B$2:$B$100, Branches!$C$2:$C$100, "خطأ في الكود")</f>
        <v>0</v>
      </c>
    </row>
    <row r="379" spans="38:52">
      <c r="AL379">
        <f>IFERROR(_xlfn.XLOOKUP(E379, Branches!$B$2:$B$100, Branches!$C$2:$C$100, "خطأ في الكود"), "")</f>
        <v>0</v>
      </c>
      <c r="AZ379">
        <f>_xlfn.XLOOKUP(E379, Branches!$B$2:$B$100, Branches!$C$2:$C$100, "خطأ في الكود")</f>
        <v>0</v>
      </c>
    </row>
    <row r="380" spans="38:52">
      <c r="AL380">
        <f>IFERROR(_xlfn.XLOOKUP(E380, Branches!$B$2:$B$100, Branches!$C$2:$C$100, "خطأ في الكود"), "")</f>
        <v>0</v>
      </c>
      <c r="AZ380">
        <f>_xlfn.XLOOKUP(E380, Branches!$B$2:$B$100, Branches!$C$2:$C$100, "خطأ في الكود")</f>
        <v>0</v>
      </c>
    </row>
    <row r="381" spans="38:52">
      <c r="AL381">
        <f>IFERROR(_xlfn.XLOOKUP(E381, Branches!$B$2:$B$100, Branches!$C$2:$C$100, "خطأ في الكود"), "")</f>
        <v>0</v>
      </c>
      <c r="AZ381">
        <f>_xlfn.XLOOKUP(E381, Branches!$B$2:$B$100, Branches!$C$2:$C$100, "خطأ في الكود")</f>
        <v>0</v>
      </c>
    </row>
    <row r="382" spans="38:52">
      <c r="AL382">
        <f>IFERROR(_xlfn.XLOOKUP(E382, Branches!$B$2:$B$100, Branches!$C$2:$C$100, "خطأ في الكود"), "")</f>
        <v>0</v>
      </c>
      <c r="AZ382">
        <f>_xlfn.XLOOKUP(E382, Branches!$B$2:$B$100, Branches!$C$2:$C$100, "خطأ في الكود")</f>
        <v>0</v>
      </c>
    </row>
    <row r="383" spans="38:52">
      <c r="AL383">
        <f>IFERROR(_xlfn.XLOOKUP(E383, Branches!$B$2:$B$100, Branches!$C$2:$C$100, "خطأ في الكود"), "")</f>
        <v>0</v>
      </c>
      <c r="AZ383">
        <f>_xlfn.XLOOKUP(E383, Branches!$B$2:$B$100, Branches!$C$2:$C$100, "خطأ في الكود")</f>
        <v>0</v>
      </c>
    </row>
    <row r="384" spans="38:52">
      <c r="AL384">
        <f>IFERROR(_xlfn.XLOOKUP(E384, Branches!$B$2:$B$100, Branches!$C$2:$C$100, "خطأ في الكود"), "")</f>
        <v>0</v>
      </c>
      <c r="AZ384">
        <f>_xlfn.XLOOKUP(E384, Branches!$B$2:$B$100, Branches!$C$2:$C$100, "خطأ في الكود")</f>
        <v>0</v>
      </c>
    </row>
    <row r="385" spans="38:52">
      <c r="AL385">
        <f>IFERROR(_xlfn.XLOOKUP(E385, Branches!$B$2:$B$100, Branches!$C$2:$C$100, "خطأ في الكود"), "")</f>
        <v>0</v>
      </c>
      <c r="AZ385">
        <f>_xlfn.XLOOKUP(E385, Branches!$B$2:$B$100, Branches!$C$2:$C$100, "خطأ في الكود")</f>
        <v>0</v>
      </c>
    </row>
    <row r="386" spans="38:52">
      <c r="AL386">
        <f>IFERROR(_xlfn.XLOOKUP(E386, Branches!$B$2:$B$100, Branches!$C$2:$C$100, "خطأ في الكود"), "")</f>
        <v>0</v>
      </c>
      <c r="AZ386">
        <f>_xlfn.XLOOKUP(E386, Branches!$B$2:$B$100, Branches!$C$2:$C$100, "خطأ في الكود")</f>
        <v>0</v>
      </c>
    </row>
    <row r="387" spans="38:52">
      <c r="AL387">
        <f>IFERROR(_xlfn.XLOOKUP(E387, Branches!$B$2:$B$100, Branches!$C$2:$C$100, "خطأ في الكود"), "")</f>
        <v>0</v>
      </c>
      <c r="AZ387">
        <f>_xlfn.XLOOKUP(E387, Branches!$B$2:$B$100, Branches!$C$2:$C$100, "خطأ في الكود")</f>
        <v>0</v>
      </c>
    </row>
    <row r="388" spans="38:52">
      <c r="AL388">
        <f>IFERROR(_xlfn.XLOOKUP(E388, Branches!$B$2:$B$100, Branches!$C$2:$C$100, "خطأ في الكود"), "")</f>
        <v>0</v>
      </c>
      <c r="AZ388">
        <f>_xlfn.XLOOKUP(E388, Branches!$B$2:$B$100, Branches!$C$2:$C$100, "خطأ في الكود")</f>
        <v>0</v>
      </c>
    </row>
    <row r="389" spans="38:52">
      <c r="AL389">
        <f>IFERROR(_xlfn.XLOOKUP(E389, Branches!$B$2:$B$100, Branches!$C$2:$C$100, "خطأ في الكود"), "")</f>
        <v>0</v>
      </c>
      <c r="AZ389">
        <f>_xlfn.XLOOKUP(E389, Branches!$B$2:$B$100, Branches!$C$2:$C$100, "خطأ في الكود")</f>
        <v>0</v>
      </c>
    </row>
    <row r="390" spans="38:52">
      <c r="AL390">
        <f>IFERROR(_xlfn.XLOOKUP(E390, Branches!$B$2:$B$100, Branches!$C$2:$C$100, "خطأ في الكود"), "")</f>
        <v>0</v>
      </c>
      <c r="AZ390">
        <f>_xlfn.XLOOKUP(E390, Branches!$B$2:$B$100, Branches!$C$2:$C$100, "خطأ في الكود")</f>
        <v>0</v>
      </c>
    </row>
    <row r="391" spans="38:52">
      <c r="AL391">
        <f>IFERROR(_xlfn.XLOOKUP(E391, Branches!$B$2:$B$100, Branches!$C$2:$C$100, "خطأ في الكود"), "")</f>
        <v>0</v>
      </c>
      <c r="AZ391">
        <f>_xlfn.XLOOKUP(E391, Branches!$B$2:$B$100, Branches!$C$2:$C$100, "خطأ في الكود")</f>
        <v>0</v>
      </c>
    </row>
    <row r="392" spans="38:52">
      <c r="AL392">
        <f>IFERROR(_xlfn.XLOOKUP(E392, Branches!$B$2:$B$100, Branches!$C$2:$C$100, "خطأ في الكود"), "")</f>
        <v>0</v>
      </c>
      <c r="AZ392">
        <f>_xlfn.XLOOKUP(E392, Branches!$B$2:$B$100, Branches!$C$2:$C$100, "خطأ في الكود")</f>
        <v>0</v>
      </c>
    </row>
    <row r="393" spans="38:52">
      <c r="AL393">
        <f>IFERROR(_xlfn.XLOOKUP(E393, Branches!$B$2:$B$100, Branches!$C$2:$C$100, "خطأ في الكود"), "")</f>
        <v>0</v>
      </c>
      <c r="AZ393">
        <f>_xlfn.XLOOKUP(E393, Branches!$B$2:$B$100, Branches!$C$2:$C$100, "خطأ في الكود")</f>
        <v>0</v>
      </c>
    </row>
    <row r="394" spans="38:52">
      <c r="AL394">
        <f>IFERROR(_xlfn.XLOOKUP(E394, Branches!$B$2:$B$100, Branches!$C$2:$C$100, "خطأ في الكود"), "")</f>
        <v>0</v>
      </c>
      <c r="AZ394">
        <f>_xlfn.XLOOKUP(E394, Branches!$B$2:$B$100, Branches!$C$2:$C$100, "خطأ في الكود")</f>
        <v>0</v>
      </c>
    </row>
    <row r="395" spans="38:52">
      <c r="AL395">
        <f>IFERROR(_xlfn.XLOOKUP(E395, Branches!$B$2:$B$100, Branches!$C$2:$C$100, "خطأ في الكود"), "")</f>
        <v>0</v>
      </c>
      <c r="AZ395">
        <f>_xlfn.XLOOKUP(E395, Branches!$B$2:$B$100, Branches!$C$2:$C$100, "خطأ في الكود")</f>
        <v>0</v>
      </c>
    </row>
    <row r="396" spans="38:52">
      <c r="AL396">
        <f>IFERROR(_xlfn.XLOOKUP(E396, Branches!$B$2:$B$100, Branches!$C$2:$C$100, "خطأ في الكود"), "")</f>
        <v>0</v>
      </c>
      <c r="AZ396">
        <f>_xlfn.XLOOKUP(E396, Branches!$B$2:$B$100, Branches!$C$2:$C$100, "خطأ في الكود")</f>
        <v>0</v>
      </c>
    </row>
    <row r="397" spans="38:52">
      <c r="AL397">
        <f>IFERROR(_xlfn.XLOOKUP(E397, Branches!$B$2:$B$100, Branches!$C$2:$C$100, "خطأ في الكود"), "")</f>
        <v>0</v>
      </c>
      <c r="AZ397">
        <f>_xlfn.XLOOKUP(E397, Branches!$B$2:$B$100, Branches!$C$2:$C$100, "خطأ في الكود")</f>
        <v>0</v>
      </c>
    </row>
    <row r="398" spans="38:52">
      <c r="AL398">
        <f>IFERROR(_xlfn.XLOOKUP(E398, Branches!$B$2:$B$100, Branches!$C$2:$C$100, "خطأ في الكود"), "")</f>
        <v>0</v>
      </c>
      <c r="AZ398">
        <f>_xlfn.XLOOKUP(E398, Branches!$B$2:$B$100, Branches!$C$2:$C$100, "خطأ في الكود")</f>
        <v>0</v>
      </c>
    </row>
    <row r="399" spans="38:52">
      <c r="AL399">
        <f>IFERROR(_xlfn.XLOOKUP(E399, Branches!$B$2:$B$100, Branches!$C$2:$C$100, "خطأ في الكود"), "")</f>
        <v>0</v>
      </c>
      <c r="AZ399">
        <f>_xlfn.XLOOKUP(E399, Branches!$B$2:$B$100, Branches!$C$2:$C$100, "خطأ في الكود")</f>
        <v>0</v>
      </c>
    </row>
    <row r="400" spans="38:52">
      <c r="AL400">
        <f>IFERROR(_xlfn.XLOOKUP(E400, Branches!$B$2:$B$100, Branches!$C$2:$C$100, "خطأ في الكود"), "")</f>
        <v>0</v>
      </c>
      <c r="AZ400">
        <f>_xlfn.XLOOKUP(E400, Branches!$B$2:$B$100, Branches!$C$2:$C$100, "خطأ في الكود")</f>
        <v>0</v>
      </c>
    </row>
    <row r="401" spans="38:52">
      <c r="AL401">
        <f>IFERROR(_xlfn.XLOOKUP(E401, Branches!$B$2:$B$100, Branches!$C$2:$C$100, "خطأ في الكود"), "")</f>
        <v>0</v>
      </c>
      <c r="AZ401">
        <f>_xlfn.XLOOKUP(E401, Branches!$B$2:$B$100, Branches!$C$2:$C$100, "خطأ في الكود")</f>
        <v>0</v>
      </c>
    </row>
    <row r="402" spans="38:52">
      <c r="AL402">
        <f>IFERROR(_xlfn.XLOOKUP(E402, Branches!$B$2:$B$100, Branches!$C$2:$C$100, "خطأ في الكود"), "")</f>
        <v>0</v>
      </c>
      <c r="AZ402">
        <f>_xlfn.XLOOKUP(E402, Branches!$B$2:$B$100, Branches!$C$2:$C$100, "خطأ في الكود")</f>
        <v>0</v>
      </c>
    </row>
    <row r="403" spans="38:52">
      <c r="AL403">
        <f>IFERROR(_xlfn.XLOOKUP(E403, Branches!$B$2:$B$100, Branches!$C$2:$C$100, "خطأ في الكود"), "")</f>
        <v>0</v>
      </c>
      <c r="AZ403">
        <f>_xlfn.XLOOKUP(E403, Branches!$B$2:$B$100, Branches!$C$2:$C$100, "خطأ في الكود")</f>
        <v>0</v>
      </c>
    </row>
    <row r="404" spans="38:52">
      <c r="AL404">
        <f>IFERROR(_xlfn.XLOOKUP(E404, Branches!$B$2:$B$100, Branches!$C$2:$C$100, "خطأ في الكود"), "")</f>
        <v>0</v>
      </c>
      <c r="AZ404">
        <f>_xlfn.XLOOKUP(E404, Branches!$B$2:$B$100, Branches!$C$2:$C$100, "خطأ في الكود")</f>
        <v>0</v>
      </c>
    </row>
    <row r="405" spans="38:52">
      <c r="AL405">
        <f>IFERROR(_xlfn.XLOOKUP(E405, Branches!$B$2:$B$100, Branches!$C$2:$C$100, "خطأ في الكود"), "")</f>
        <v>0</v>
      </c>
      <c r="AZ405">
        <f>_xlfn.XLOOKUP(E405, Branches!$B$2:$B$100, Branches!$C$2:$C$100, "خطأ في الكود")</f>
        <v>0</v>
      </c>
    </row>
    <row r="406" spans="38:52">
      <c r="AL406">
        <f>IFERROR(_xlfn.XLOOKUP(E406, Branches!$B$2:$B$100, Branches!$C$2:$C$100, "خطأ في الكود"), "")</f>
        <v>0</v>
      </c>
      <c r="AZ406">
        <f>_xlfn.XLOOKUP(E406, Branches!$B$2:$B$100, Branches!$C$2:$C$100, "خطأ في الكود")</f>
        <v>0</v>
      </c>
    </row>
    <row r="407" spans="38:52">
      <c r="AL407">
        <f>IFERROR(_xlfn.XLOOKUP(E407, Branches!$B$2:$B$100, Branches!$C$2:$C$100, "خطأ في الكود"), "")</f>
        <v>0</v>
      </c>
      <c r="AZ407">
        <f>_xlfn.XLOOKUP(E407, Branches!$B$2:$B$100, Branches!$C$2:$C$100, "خطأ في الكود")</f>
        <v>0</v>
      </c>
    </row>
    <row r="408" spans="38:52">
      <c r="AL408">
        <f>IFERROR(_xlfn.XLOOKUP(E408, Branches!$B$2:$B$100, Branches!$C$2:$C$100, "خطأ في الكود"), "")</f>
        <v>0</v>
      </c>
      <c r="AZ408">
        <f>_xlfn.XLOOKUP(E408, Branches!$B$2:$B$100, Branches!$C$2:$C$100, "خطأ في الكود")</f>
        <v>0</v>
      </c>
    </row>
    <row r="409" spans="38:52">
      <c r="AL409">
        <f>IFERROR(_xlfn.XLOOKUP(E409, Branches!$B$2:$B$100, Branches!$C$2:$C$100, "خطأ في الكود"), "")</f>
        <v>0</v>
      </c>
      <c r="AZ409">
        <f>_xlfn.XLOOKUP(E409, Branches!$B$2:$B$100, Branches!$C$2:$C$100, "خطأ في الكود")</f>
        <v>0</v>
      </c>
    </row>
    <row r="410" spans="38:52">
      <c r="AL410">
        <f>IFERROR(_xlfn.XLOOKUP(E410, Branches!$B$2:$B$100, Branches!$C$2:$C$100, "خطأ في الكود"), "")</f>
        <v>0</v>
      </c>
      <c r="AZ410">
        <f>_xlfn.XLOOKUP(E410, Branches!$B$2:$B$100, Branches!$C$2:$C$100, "خطأ في الكود")</f>
        <v>0</v>
      </c>
    </row>
    <row r="411" spans="38:52">
      <c r="AL411">
        <f>IFERROR(_xlfn.XLOOKUP(E411, Branches!$B$2:$B$100, Branches!$C$2:$C$100, "خطأ في الكود"), "")</f>
        <v>0</v>
      </c>
      <c r="AZ411">
        <f>_xlfn.XLOOKUP(E411, Branches!$B$2:$B$100, Branches!$C$2:$C$100, "خطأ في الكود")</f>
        <v>0</v>
      </c>
    </row>
    <row r="412" spans="38:52">
      <c r="AL412">
        <f>IFERROR(_xlfn.XLOOKUP(E412, Branches!$B$2:$B$100, Branches!$C$2:$C$100, "خطأ في الكود"), "")</f>
        <v>0</v>
      </c>
      <c r="AZ412">
        <f>_xlfn.XLOOKUP(E412, Branches!$B$2:$B$100, Branches!$C$2:$C$100, "خطأ في الكود")</f>
        <v>0</v>
      </c>
    </row>
    <row r="413" spans="38:52">
      <c r="AL413">
        <f>IFERROR(_xlfn.XLOOKUP(E413, Branches!$B$2:$B$100, Branches!$C$2:$C$100, "خطأ في الكود"), "")</f>
        <v>0</v>
      </c>
      <c r="AZ413">
        <f>_xlfn.XLOOKUP(E413, Branches!$B$2:$B$100, Branches!$C$2:$C$100, "خطأ في الكود")</f>
        <v>0</v>
      </c>
    </row>
    <row r="414" spans="38:52">
      <c r="AL414">
        <f>IFERROR(_xlfn.XLOOKUP(E414, Branches!$B$2:$B$100, Branches!$C$2:$C$100, "خطأ في الكود"), "")</f>
        <v>0</v>
      </c>
      <c r="AZ414">
        <f>_xlfn.XLOOKUP(E414, Branches!$B$2:$B$100, Branches!$C$2:$C$100, "خطأ في الكود")</f>
        <v>0</v>
      </c>
    </row>
    <row r="415" spans="38:52">
      <c r="AL415">
        <f>IFERROR(_xlfn.XLOOKUP(E415, Branches!$B$2:$B$100, Branches!$C$2:$C$100, "خطأ في الكود"), "")</f>
        <v>0</v>
      </c>
      <c r="AZ415">
        <f>_xlfn.XLOOKUP(E415, Branches!$B$2:$B$100, Branches!$C$2:$C$100, "خطأ في الكود")</f>
        <v>0</v>
      </c>
    </row>
    <row r="416" spans="38:52">
      <c r="AL416">
        <f>IFERROR(_xlfn.XLOOKUP(E416, Branches!$B$2:$B$100, Branches!$C$2:$C$100, "خطأ في الكود"), "")</f>
        <v>0</v>
      </c>
      <c r="AZ416">
        <f>_xlfn.XLOOKUP(E416, Branches!$B$2:$B$100, Branches!$C$2:$C$100, "خطأ في الكود")</f>
        <v>0</v>
      </c>
    </row>
    <row r="417" spans="38:52">
      <c r="AL417">
        <f>IFERROR(_xlfn.XLOOKUP(E417, Branches!$B$2:$B$100, Branches!$C$2:$C$100, "خطأ في الكود"), "")</f>
        <v>0</v>
      </c>
      <c r="AZ417">
        <f>_xlfn.XLOOKUP(E417, Branches!$B$2:$B$100, Branches!$C$2:$C$100, "خطأ في الكود")</f>
        <v>0</v>
      </c>
    </row>
    <row r="418" spans="38:52">
      <c r="AL418">
        <f>IFERROR(_xlfn.XLOOKUP(E418, Branches!$B$2:$B$100, Branches!$C$2:$C$100, "خطأ في الكود"), "")</f>
        <v>0</v>
      </c>
      <c r="AZ418">
        <f>_xlfn.XLOOKUP(E418, Branches!$B$2:$B$100, Branches!$C$2:$C$100, "خطأ في الكود")</f>
        <v>0</v>
      </c>
    </row>
    <row r="419" spans="38:52">
      <c r="AL419">
        <f>IFERROR(_xlfn.XLOOKUP(E419, Branches!$B$2:$B$100, Branches!$C$2:$C$100, "خطأ في الكود"), "")</f>
        <v>0</v>
      </c>
      <c r="AZ419">
        <f>_xlfn.XLOOKUP(E419, Branches!$B$2:$B$100, Branches!$C$2:$C$100, "خطأ في الكود")</f>
        <v>0</v>
      </c>
    </row>
    <row r="420" spans="38:52">
      <c r="AL420">
        <f>IFERROR(_xlfn.XLOOKUP(E420, Branches!$B$2:$B$100, Branches!$C$2:$C$100, "خطأ في الكود"), "")</f>
        <v>0</v>
      </c>
      <c r="AZ420">
        <f>_xlfn.XLOOKUP(E420, Branches!$B$2:$B$100, Branches!$C$2:$C$100, "خطأ في الكود")</f>
        <v>0</v>
      </c>
    </row>
    <row r="421" spans="38:52">
      <c r="AL421">
        <f>IFERROR(_xlfn.XLOOKUP(E421, Branches!$B$2:$B$100, Branches!$C$2:$C$100, "خطأ في الكود"), "")</f>
        <v>0</v>
      </c>
      <c r="AZ421">
        <f>_xlfn.XLOOKUP(E421, Branches!$B$2:$B$100, Branches!$C$2:$C$100, "خطأ في الكود")</f>
        <v>0</v>
      </c>
    </row>
    <row r="422" spans="38:52">
      <c r="AL422">
        <f>IFERROR(_xlfn.XLOOKUP(E422, Branches!$B$2:$B$100, Branches!$C$2:$C$100, "خطأ في الكود"), "")</f>
        <v>0</v>
      </c>
      <c r="AZ422">
        <f>_xlfn.XLOOKUP(E422, Branches!$B$2:$B$100, Branches!$C$2:$C$100, "خطأ في الكود")</f>
        <v>0</v>
      </c>
    </row>
    <row r="423" spans="38:52">
      <c r="AL423">
        <f>IFERROR(_xlfn.XLOOKUP(E423, Branches!$B$2:$B$100, Branches!$C$2:$C$100, "خطأ في الكود"), "")</f>
        <v>0</v>
      </c>
      <c r="AZ423">
        <f>_xlfn.XLOOKUP(E423, Branches!$B$2:$B$100, Branches!$C$2:$C$100, "خطأ في الكود")</f>
        <v>0</v>
      </c>
    </row>
    <row r="424" spans="38:52">
      <c r="AL424">
        <f>IFERROR(_xlfn.XLOOKUP(E424, Branches!$B$2:$B$100, Branches!$C$2:$C$100, "خطأ في الكود"), "")</f>
        <v>0</v>
      </c>
      <c r="AZ424">
        <f>_xlfn.XLOOKUP(E424, Branches!$B$2:$B$100, Branches!$C$2:$C$100, "خطأ في الكود")</f>
        <v>0</v>
      </c>
    </row>
    <row r="425" spans="38:52">
      <c r="AL425">
        <f>IFERROR(_xlfn.XLOOKUP(E425, Branches!$B$2:$B$100, Branches!$C$2:$C$100, "خطأ في الكود"), "")</f>
        <v>0</v>
      </c>
      <c r="AZ425">
        <f>_xlfn.XLOOKUP(E425, Branches!$B$2:$B$100, Branches!$C$2:$C$100, "خطأ في الكود")</f>
        <v>0</v>
      </c>
    </row>
    <row r="426" spans="38:52">
      <c r="AZ426">
        <f>_xlfn.XLOOKUP(E426, Branches!$B$2:$B$100, Branches!$C$2:$C$100, "خطأ في الكود")</f>
        <v>0</v>
      </c>
    </row>
    <row r="427" spans="38:52">
      <c r="AZ427">
        <f>_xlfn.XLOOKUP(E427, Branches!$B$2:$B$100, Branches!$C$2:$C$100, "خطأ في الكود")</f>
        <v>0</v>
      </c>
    </row>
    <row r="428" spans="38:52">
      <c r="AZ428">
        <f>_xlfn.XLOOKUP(E428, Branches!$B$2:$B$100, Branches!$C$2:$C$100, "خطأ في الكود")</f>
        <v>0</v>
      </c>
    </row>
    <row r="429" spans="38:52">
      <c r="AZ429">
        <f>_xlfn.XLOOKUP(E429, Branches!$B$2:$B$100, Branches!$C$2:$C$100, "خطأ في الكود")</f>
        <v>0</v>
      </c>
    </row>
    <row r="430" spans="38:52">
      <c r="AZ430">
        <f>_xlfn.XLOOKUP(E430, Branches!$B$2:$B$100, Branches!$C$2:$C$100, "خطأ في الكود")</f>
        <v>0</v>
      </c>
    </row>
    <row r="431" spans="38:52">
      <c r="AZ431">
        <f>_xlfn.XLOOKUP(E431, Branches!$B$2:$B$100, Branches!$C$2:$C$100, "خطأ في الكود")</f>
        <v>0</v>
      </c>
    </row>
    <row r="432" spans="38:52">
      <c r="AZ432">
        <f>_xlfn.XLOOKUP(E432, Branches!$B$2:$B$100, Branches!$C$2:$C$100, "خطأ في الكود")</f>
        <v>0</v>
      </c>
    </row>
    <row r="433" spans="52:52">
      <c r="AZ433">
        <f>_xlfn.XLOOKUP(E433, Branches!$B$2:$B$100, Branches!$C$2:$C$100, "خطأ في الكود")</f>
        <v>0</v>
      </c>
    </row>
    <row r="434" spans="52:52">
      <c r="AZ434">
        <f>_xlfn.XLOOKUP(E434, Branches!$B$2:$B$100, Branches!$C$2:$C$100, "خطأ في الكود")</f>
        <v>0</v>
      </c>
    </row>
    <row r="435" spans="52:52">
      <c r="AZ435">
        <f>_xlfn.XLOOKUP(E435, Branches!$B$2:$B$100, Branches!$C$2:$C$100, "خطأ في الكود")</f>
        <v>0</v>
      </c>
    </row>
    <row r="436" spans="52:52">
      <c r="AZ436">
        <f>_xlfn.XLOOKUP(E436, Branches!$B$2:$B$100, Branches!$C$2:$C$100, "خطأ في الكود")</f>
        <v>0</v>
      </c>
    </row>
    <row r="437" spans="52:52">
      <c r="AZ437">
        <f>_xlfn.XLOOKUP(E437, Branches!$B$2:$B$100, Branches!$C$2:$C$100, "خطأ في الكود")</f>
        <v>0</v>
      </c>
    </row>
    <row r="438" spans="52:52">
      <c r="AZ438">
        <f>_xlfn.XLOOKUP(E438, Branches!$B$2:$B$100, Branches!$C$2:$C$100, "خطأ في الكود")</f>
        <v>0</v>
      </c>
    </row>
    <row r="439" spans="52:52">
      <c r="AZ439">
        <f>_xlfn.XLOOKUP(E439, Branches!$B$2:$B$100, Branches!$C$2:$C$100, "خطأ في الكود")</f>
        <v>0</v>
      </c>
    </row>
    <row r="440" spans="52:52">
      <c r="AZ440">
        <f>_xlfn.XLOOKUP(E440, Branches!$B$2:$B$100, Branches!$C$2:$C$100, "خطأ في الكود")</f>
        <v>0</v>
      </c>
    </row>
    <row r="441" spans="52:52">
      <c r="AZ441">
        <f>_xlfn.XLOOKUP(E441, Branches!$B$2:$B$100, Branches!$C$2:$C$100, "خطأ في الكود")</f>
        <v>0</v>
      </c>
    </row>
    <row r="442" spans="52:52">
      <c r="AZ442">
        <f>_xlfn.XLOOKUP(E442, Branches!$B$2:$B$100, Branches!$C$2:$C$100, "خطأ في الكود")</f>
        <v>0</v>
      </c>
    </row>
    <row r="443" spans="52:52">
      <c r="AZ443">
        <f>_xlfn.XLOOKUP(E443, Branches!$B$2:$B$100, Branches!$C$2:$C$100, "خطأ في الكود")</f>
        <v>0</v>
      </c>
    </row>
    <row r="444" spans="52:52">
      <c r="AZ444">
        <f>_xlfn.XLOOKUP(E444, Branches!$B$2:$B$100, Branches!$C$2:$C$100, "خطأ في الكود")</f>
        <v>0</v>
      </c>
    </row>
    <row r="445" spans="52:52">
      <c r="AZ445">
        <f>_xlfn.XLOOKUP(E445, Branches!$B$2:$B$100, Branches!$C$2:$C$100, "خطأ في الكود")</f>
        <v>0</v>
      </c>
    </row>
    <row r="446" spans="52:52">
      <c r="AZ446">
        <f>_xlfn.XLOOKUP(E446, Branches!$B$2:$B$100, Branches!$C$2:$C$100, "خطأ في الكود")</f>
        <v>0</v>
      </c>
    </row>
    <row r="447" spans="52:52">
      <c r="AZ447">
        <f>_xlfn.XLOOKUP(E447, Branches!$B$2:$B$100, Branches!$C$2:$C$100, "خطأ في الكود")</f>
        <v>0</v>
      </c>
    </row>
    <row r="448" spans="52:52">
      <c r="AZ448">
        <f>_xlfn.XLOOKUP(E448, Branches!$B$2:$B$100, Branches!$C$2:$C$100, "خطأ في الكود")</f>
        <v>0</v>
      </c>
    </row>
    <row r="449" spans="52:52">
      <c r="AZ449">
        <f>_xlfn.XLOOKUP(E449, Branches!$B$2:$B$100, Branches!$C$2:$C$100, "خطأ في الكود")</f>
        <v>0</v>
      </c>
    </row>
    <row r="450" spans="52:52">
      <c r="AZ450">
        <f>_xlfn.XLOOKUP(E450, Branches!$B$2:$B$100, Branches!$C$2:$C$100, "خطأ في الكود")</f>
        <v>0</v>
      </c>
    </row>
    <row r="451" spans="52:52">
      <c r="AZ451">
        <f>_xlfn.XLOOKUP(E451, Branches!$B$2:$B$100, Branches!$C$2:$C$100, "خطأ في الكود")</f>
        <v>0</v>
      </c>
    </row>
    <row r="452" spans="52:52">
      <c r="AZ452">
        <f>_xlfn.XLOOKUP(E452, Branches!$B$2:$B$100, Branches!$C$2:$C$100, "خطأ في الكود")</f>
        <v>0</v>
      </c>
    </row>
    <row r="453" spans="52:52">
      <c r="AZ453">
        <f>_xlfn.XLOOKUP(E453, Branches!$B$2:$B$100, Branches!$C$2:$C$100, "خطأ في الكود")</f>
        <v>0</v>
      </c>
    </row>
    <row r="454" spans="52:52">
      <c r="AZ454">
        <f>_xlfn.XLOOKUP(E454, Branches!$B$2:$B$100, Branches!$C$2:$C$100, "خطأ في الكود")</f>
        <v>0</v>
      </c>
    </row>
    <row r="455" spans="52:52">
      <c r="AZ455">
        <f>_xlfn.XLOOKUP(E455, Branches!$B$2:$B$100, Branches!$C$2:$C$100, "خطأ في الكود")</f>
        <v>0</v>
      </c>
    </row>
    <row r="456" spans="52:52">
      <c r="AZ456">
        <f>_xlfn.XLOOKUP(E456, Branches!$B$2:$B$100, Branches!$C$2:$C$100, "خطأ في الكود")</f>
        <v>0</v>
      </c>
    </row>
    <row r="457" spans="52:52">
      <c r="AZ457">
        <f>_xlfn.XLOOKUP(E457, Branches!$B$2:$B$100, Branches!$C$2:$C$100, "خطأ في الكود")</f>
        <v>0</v>
      </c>
    </row>
    <row r="458" spans="52:52">
      <c r="AZ458">
        <f>_xlfn.XLOOKUP(E458, Branches!$B$2:$B$100, Branches!$C$2:$C$100, "خطأ في الكود")</f>
        <v>0</v>
      </c>
    </row>
    <row r="459" spans="52:52">
      <c r="AZ459">
        <f>_xlfn.XLOOKUP(E459, Branches!$B$2:$B$100, Branches!$C$2:$C$100, "خطأ في الكود")</f>
        <v>0</v>
      </c>
    </row>
    <row r="460" spans="52:52">
      <c r="AZ460">
        <f>_xlfn.XLOOKUP(E460, Branches!$B$2:$B$100, Branches!$C$2:$C$100, "خطأ في الكود")</f>
        <v>0</v>
      </c>
    </row>
    <row r="461" spans="52:52">
      <c r="AZ461">
        <f>_xlfn.XLOOKUP(E461, Branches!$B$2:$B$100, Branches!$C$2:$C$100, "خطأ في الكود")</f>
        <v>0</v>
      </c>
    </row>
    <row r="462" spans="52:52">
      <c r="AZ462">
        <f>_xlfn.XLOOKUP(E462, Branches!$B$2:$B$100, Branches!$C$2:$C$100, "خطأ في الكود")</f>
        <v>0</v>
      </c>
    </row>
    <row r="463" spans="52:52">
      <c r="AZ463">
        <f>_xlfn.XLOOKUP(E463, Branches!$B$2:$B$100, Branches!$C$2:$C$100, "خطأ في الكود")</f>
        <v>0</v>
      </c>
    </row>
    <row r="464" spans="52:52">
      <c r="AZ464">
        <f>_xlfn.XLOOKUP(E464, Branches!$B$2:$B$100, Branches!$C$2:$C$100, "خطأ في الكود")</f>
        <v>0</v>
      </c>
    </row>
    <row r="465" spans="52:52">
      <c r="AZ465">
        <f>_xlfn.XLOOKUP(E465, Branches!$B$2:$B$100, Branches!$C$2:$C$100, "خطأ في الكود")</f>
        <v>0</v>
      </c>
    </row>
    <row r="466" spans="52:52">
      <c r="AZ466">
        <f>_xlfn.XLOOKUP(E466, Branches!$B$2:$B$100, Branches!$C$2:$C$100, "خطأ في الكود")</f>
        <v>0</v>
      </c>
    </row>
    <row r="467" spans="52:52">
      <c r="AZ467">
        <f>_xlfn.XLOOKUP(E467, Branches!$B$2:$B$100, Branches!$C$2:$C$100, "خطأ في الكود")</f>
        <v>0</v>
      </c>
    </row>
    <row r="468" spans="52:52">
      <c r="AZ468">
        <f>_xlfn.XLOOKUP(E468, Branches!$B$2:$B$100, Branches!$C$2:$C$100, "خطأ في الكود")</f>
        <v>0</v>
      </c>
    </row>
    <row r="469" spans="52:52">
      <c r="AZ469">
        <f>_xlfn.XLOOKUP(E469, Branches!$B$2:$B$100, Branches!$C$2:$C$100, "خطأ في الكود")</f>
        <v>0</v>
      </c>
    </row>
    <row r="470" spans="52:52">
      <c r="AZ470">
        <f>_xlfn.XLOOKUP(E470, Branches!$B$2:$B$100, Branches!$C$2:$C$100, "خطأ في الكود")</f>
        <v>0</v>
      </c>
    </row>
    <row r="471" spans="52:52">
      <c r="AZ471">
        <f>_xlfn.XLOOKUP(E471, Branches!$B$2:$B$100, Branches!$C$2:$C$100, "خطأ في الكود")</f>
        <v>0</v>
      </c>
    </row>
    <row r="472" spans="52:52">
      <c r="AZ472">
        <f>_xlfn.XLOOKUP(E472, Branches!$B$2:$B$100, Branches!$C$2:$C$100, "خطأ في الكود")</f>
        <v>0</v>
      </c>
    </row>
    <row r="473" spans="52:52">
      <c r="AZ473">
        <f>_xlfn.XLOOKUP(E473, Branches!$B$2:$B$100, Branches!$C$2:$C$100, "خطأ في الكود")</f>
        <v>0</v>
      </c>
    </row>
    <row r="474" spans="52:52">
      <c r="AZ474">
        <f>_xlfn.XLOOKUP(E474, Branches!$B$2:$B$100, Branches!$C$2:$C$100, "خطأ في الكود")</f>
        <v>0</v>
      </c>
    </row>
    <row r="475" spans="52:52">
      <c r="AZ475">
        <f>_xlfn.XLOOKUP(E475, Branches!$B$2:$B$100, Branches!$C$2:$C$100, "خطأ في الكود")</f>
        <v>0</v>
      </c>
    </row>
    <row r="476" spans="52:52">
      <c r="AZ476">
        <f>_xlfn.XLOOKUP(E476, Branches!$B$2:$B$100, Branches!$C$2:$C$100, "خطأ في الكود")</f>
        <v>0</v>
      </c>
    </row>
    <row r="477" spans="52:52">
      <c r="AZ477">
        <f>_xlfn.XLOOKUP(E477, Branches!$B$2:$B$100, Branches!$C$2:$C$100, "خطأ في الكود")</f>
        <v>0</v>
      </c>
    </row>
    <row r="478" spans="52:52">
      <c r="AZ478">
        <f>_xlfn.XLOOKUP(E478, Branches!$B$2:$B$100, Branches!$C$2:$C$100, "خطأ في الكود")</f>
        <v>0</v>
      </c>
    </row>
    <row r="479" spans="52:52">
      <c r="AZ479">
        <f>_xlfn.XLOOKUP(E479, Branches!$B$2:$B$100, Branches!$C$2:$C$100, "خطأ في الكود")</f>
        <v>0</v>
      </c>
    </row>
    <row r="480" spans="52:52">
      <c r="AZ480">
        <f>_xlfn.XLOOKUP(E480, Branches!$B$2:$B$100, Branches!$C$2:$C$100, "خطأ في الكود")</f>
        <v>0</v>
      </c>
    </row>
    <row r="481" spans="52:52">
      <c r="AZ481">
        <f>_xlfn.XLOOKUP(E481, Branches!$B$2:$B$100, Branches!$C$2:$C$100, "خطأ في الكود")</f>
        <v>0</v>
      </c>
    </row>
    <row r="482" spans="52:52">
      <c r="AZ482">
        <f>_xlfn.XLOOKUP(E482, Branches!$B$2:$B$100, Branches!$C$2:$C$100, "خطأ في الكود")</f>
        <v>0</v>
      </c>
    </row>
    <row r="483" spans="52:52">
      <c r="AZ483">
        <f>_xlfn.XLOOKUP(E483, Branches!$B$2:$B$100, Branches!$C$2:$C$100, "خطأ في الكود")</f>
        <v>0</v>
      </c>
    </row>
    <row r="484" spans="52:52">
      <c r="AZ484">
        <f>_xlfn.XLOOKUP(E484, Branches!$B$2:$B$100, Branches!$C$2:$C$100, "خطأ في الكود")</f>
        <v>0</v>
      </c>
    </row>
    <row r="485" spans="52:52">
      <c r="AZ485">
        <f>_xlfn.XLOOKUP(E485, Branches!$B$2:$B$100, Branches!$C$2:$C$100, "خطأ في الكود")</f>
        <v>0</v>
      </c>
    </row>
    <row r="486" spans="52:52">
      <c r="AZ486">
        <f>_xlfn.XLOOKUP(E486, Branches!$B$2:$B$100, Branches!$C$2:$C$100, "خطأ في الكود")</f>
        <v>0</v>
      </c>
    </row>
    <row r="487" spans="52:52">
      <c r="AZ487">
        <f>_xlfn.XLOOKUP(E487, Branches!$B$2:$B$100, Branches!$C$2:$C$100, "خطأ في الكود")</f>
        <v>0</v>
      </c>
    </row>
    <row r="488" spans="52:52">
      <c r="AZ488">
        <f>_xlfn.XLOOKUP(E488, Branches!$B$2:$B$100, Branches!$C$2:$C$100, "خطأ في الكود")</f>
        <v>0</v>
      </c>
    </row>
    <row r="489" spans="52:52">
      <c r="AZ489">
        <f>_xlfn.XLOOKUP(E489, Branches!$B$2:$B$100, Branches!$C$2:$C$100, "خطأ في الكود")</f>
        <v>0</v>
      </c>
    </row>
    <row r="490" spans="52:52">
      <c r="AZ490">
        <f>_xlfn.XLOOKUP(E490, Branches!$B$2:$B$100, Branches!$C$2:$C$100, "خطأ في الكود")</f>
        <v>0</v>
      </c>
    </row>
    <row r="491" spans="52:52">
      <c r="AZ491">
        <f>_xlfn.XLOOKUP(E491, Branches!$B$2:$B$100, Branches!$C$2:$C$100, "خطأ في الكود")</f>
        <v>0</v>
      </c>
    </row>
    <row r="492" spans="52:52">
      <c r="AZ492">
        <f>_xlfn.XLOOKUP(E492, Branches!$B$2:$B$100, Branches!$C$2:$C$100, "خطأ في الكود")</f>
        <v>0</v>
      </c>
    </row>
    <row r="493" spans="52:52">
      <c r="AZ493">
        <f>_xlfn.XLOOKUP(E493, Branches!$B$2:$B$100, Branches!$C$2:$C$100, "خطأ في الكود")</f>
        <v>0</v>
      </c>
    </row>
    <row r="494" spans="52:52">
      <c r="AZ494">
        <f>_xlfn.XLOOKUP(E494, Branches!$B$2:$B$100, Branches!$C$2:$C$100, "خطأ في الكود")</f>
        <v>0</v>
      </c>
    </row>
    <row r="495" spans="52:52">
      <c r="AZ495">
        <f>_xlfn.XLOOKUP(E495, Branches!$B$2:$B$100, Branches!$C$2:$C$100, "خطأ في الكود")</f>
        <v>0</v>
      </c>
    </row>
    <row r="496" spans="52:52">
      <c r="AZ496">
        <f>_xlfn.XLOOKUP(E496, Branches!$B$2:$B$100, Branches!$C$2:$C$100, "خطأ في الكود")</f>
        <v>0</v>
      </c>
    </row>
    <row r="497" spans="52:52">
      <c r="AZ497">
        <f>_xlfn.XLOOKUP(E497, Branches!$B$2:$B$100, Branches!$C$2:$C$100, "خطأ في الكود")</f>
        <v>0</v>
      </c>
    </row>
    <row r="498" spans="52:52">
      <c r="AZ498">
        <f>_xlfn.XLOOKUP(E498, Branches!$B$2:$B$100, Branches!$C$2:$C$100, "خطأ في الكود")</f>
        <v>0</v>
      </c>
    </row>
    <row r="499" spans="52:52">
      <c r="AZ499">
        <f>_xlfn.XLOOKUP(E499, Branches!$B$2:$B$100, Branches!$C$2:$C$100, "خطأ في الكود")</f>
        <v>0</v>
      </c>
    </row>
    <row r="500" spans="52:52">
      <c r="AZ500">
        <f>_xlfn.XLOOKUP(E500, Branches!$B$2:$B$100, Branches!$C$2:$C$100, "خطأ في الكود")</f>
        <v>0</v>
      </c>
    </row>
    <row r="501" spans="52:52">
      <c r="AZ501">
        <f>_xlfn.XLOOKUP(E501, Branches!$B$2:$B$100, Branches!$C$2:$C$100, "خطأ في الكود")</f>
        <v>0</v>
      </c>
    </row>
    <row r="502" spans="52:52">
      <c r="AZ502">
        <f>_xlfn.XLOOKUP(E502, Branches!$B$2:$B$100, Branches!$C$2:$C$100, "خطأ في الكود")</f>
        <v>0</v>
      </c>
    </row>
    <row r="503" spans="52:52">
      <c r="AZ503">
        <f>_xlfn.XLOOKUP(E503, Branches!$B$2:$B$100, Branches!$C$2:$C$100, "خطأ في الكود")</f>
        <v>0</v>
      </c>
    </row>
    <row r="504" spans="52:52">
      <c r="AZ504">
        <f>_xlfn.XLOOKUP(E504, Branches!$B$2:$B$100, Branches!$C$2:$C$100, "خطأ في الكود")</f>
        <v>0</v>
      </c>
    </row>
    <row r="505" spans="52:52">
      <c r="AZ505">
        <f>_xlfn.XLOOKUP(E505, Branches!$B$2:$B$100, Branches!$C$2:$C$100, "خطأ في الكود")</f>
        <v>0</v>
      </c>
    </row>
    <row r="506" spans="52:52">
      <c r="AZ506">
        <f>_xlfn.XLOOKUP(E506, Branches!$B$2:$B$100, Branches!$C$2:$C$100, "خطأ في الكود")</f>
        <v>0</v>
      </c>
    </row>
    <row r="507" spans="52:52">
      <c r="AZ507">
        <f>_xlfn.XLOOKUP(E507, Branches!$B$2:$B$100, Branches!$C$2:$C$100, "خطأ في الكود")</f>
        <v>0</v>
      </c>
    </row>
    <row r="508" spans="52:52">
      <c r="AZ508">
        <f>_xlfn.XLOOKUP(E508, Branches!$B$2:$B$100, Branches!$C$2:$C$100, "خطأ في الكود")</f>
        <v>0</v>
      </c>
    </row>
    <row r="509" spans="52:52">
      <c r="AZ509">
        <f>_xlfn.XLOOKUP(E509, Branches!$B$2:$B$100, Branches!$C$2:$C$100, "خطأ في الكود")</f>
        <v>0</v>
      </c>
    </row>
    <row r="510" spans="52:52">
      <c r="AZ510">
        <f>_xlfn.XLOOKUP(E510, Branches!$B$2:$B$100, Branches!$C$2:$C$100, "خطأ في الكود")</f>
        <v>0</v>
      </c>
    </row>
    <row r="511" spans="52:52">
      <c r="AZ511">
        <f>_xlfn.XLOOKUP(E511, Branches!$B$2:$B$100, Branches!$C$2:$C$100, "خطأ في الكود")</f>
        <v>0</v>
      </c>
    </row>
    <row r="512" spans="52:52">
      <c r="AZ512">
        <f>_xlfn.XLOOKUP(E512, Branches!$B$2:$B$100, Branches!$C$2:$C$100, "خطأ في الكود")</f>
        <v>0</v>
      </c>
    </row>
    <row r="513" spans="52:52">
      <c r="AZ513">
        <f>_xlfn.XLOOKUP(E513, Branches!$B$2:$B$100, Branches!$C$2:$C$100, "خطأ في الكود")</f>
        <v>0</v>
      </c>
    </row>
    <row r="514" spans="52:52">
      <c r="AZ514">
        <f>_xlfn.XLOOKUP(E514, Branches!$B$2:$B$100, Branches!$C$2:$C$100, "خطأ في الكود")</f>
        <v>0</v>
      </c>
    </row>
    <row r="515" spans="52:52">
      <c r="AZ515">
        <f>_xlfn.XLOOKUP(E515, Branches!$B$2:$B$100, Branches!$C$2:$C$100, "خطأ في الكود")</f>
        <v>0</v>
      </c>
    </row>
    <row r="516" spans="52:52">
      <c r="AZ516">
        <f>_xlfn.XLOOKUP(E516, Branches!$B$2:$B$100, Branches!$C$2:$C$100, "خطأ في الكود")</f>
        <v>0</v>
      </c>
    </row>
    <row r="517" spans="52:52">
      <c r="AZ517">
        <f>_xlfn.XLOOKUP(E517, Branches!$B$2:$B$100, Branches!$C$2:$C$100, "خطأ في الكود")</f>
        <v>0</v>
      </c>
    </row>
    <row r="518" spans="52:52">
      <c r="AZ518">
        <f>_xlfn.XLOOKUP(E518, Branches!$B$2:$B$100, Branches!$C$2:$C$100, "خطأ في الكود")</f>
        <v>0</v>
      </c>
    </row>
    <row r="519" spans="52:52">
      <c r="AZ519">
        <f>_xlfn.XLOOKUP(E519, Branches!$B$2:$B$100, Branches!$C$2:$C$100, "خطأ في الكود")</f>
        <v>0</v>
      </c>
    </row>
    <row r="520" spans="52:52">
      <c r="AZ520">
        <f>_xlfn.XLOOKUP(E520, Branches!$B$2:$B$100, Branches!$C$2:$C$100, "خطأ في الكود")</f>
        <v>0</v>
      </c>
    </row>
    <row r="521" spans="52:52">
      <c r="AZ521">
        <f>_xlfn.XLOOKUP(E521, Branches!$B$2:$B$100, Branches!$C$2:$C$100, "خطأ في الكود")</f>
        <v>0</v>
      </c>
    </row>
    <row r="522" spans="52:52">
      <c r="AZ522">
        <f>_xlfn.XLOOKUP(E522, Branches!$B$2:$B$100, Branches!$C$2:$C$100, "خطأ في الكود")</f>
        <v>0</v>
      </c>
    </row>
    <row r="523" spans="52:52">
      <c r="AZ523">
        <f>_xlfn.XLOOKUP(E523, Branches!$B$2:$B$100, Branches!$C$2:$C$100, "خطأ في الكود")</f>
        <v>0</v>
      </c>
    </row>
    <row r="524" spans="52:52">
      <c r="AZ524">
        <f>_xlfn.XLOOKUP(E524, Branches!$B$2:$B$100, Branches!$C$2:$C$100, "خطأ في الكود")</f>
        <v>0</v>
      </c>
    </row>
    <row r="525" spans="52:52">
      <c r="AZ525">
        <f>_xlfn.XLOOKUP(E525, Branches!$B$2:$B$100, Branches!$C$2:$C$100, "خطأ في الكود")</f>
        <v>0</v>
      </c>
    </row>
    <row r="526" spans="52:52">
      <c r="AZ526">
        <f>_xlfn.XLOOKUP(E526, Branches!$B$2:$B$100, Branches!$C$2:$C$100, "خطأ في الكود")</f>
        <v>0</v>
      </c>
    </row>
    <row r="527" spans="52:52">
      <c r="AZ527">
        <f>_xlfn.XLOOKUP(E527, Branches!$B$2:$B$100, Branches!$C$2:$C$100, "خطأ في الكود")</f>
        <v>0</v>
      </c>
    </row>
    <row r="528" spans="52:52">
      <c r="AZ528">
        <f>_xlfn.XLOOKUP(E528, Branches!$B$2:$B$100, Branches!$C$2:$C$100, "خطأ في الكود")</f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309"/>
  <sheetViews>
    <sheetView workbookViewId="0">
      <pane ySplit="1" topLeftCell="A2" activePane="bottomLeft" state="frozen"/>
      <selection pane="bottomLeft"/>
    </sheetView>
  </sheetViews>
  <sheetFormatPr defaultRowHeight="14.25"/>
  <sheetData>
    <row r="1" spans="1:12" ht="15">
      <c r="A1" s="6" t="s">
        <v>172</v>
      </c>
      <c r="B1" s="6" t="s">
        <v>4</v>
      </c>
      <c r="C1" s="6" t="s">
        <v>174</v>
      </c>
      <c r="D1" s="6" t="s">
        <v>15</v>
      </c>
      <c r="E1" s="6" t="s">
        <v>5</v>
      </c>
      <c r="F1" s="6" t="s">
        <v>6</v>
      </c>
      <c r="G1" s="6" t="s">
        <v>7</v>
      </c>
      <c r="H1" s="6" t="s">
        <v>8</v>
      </c>
      <c r="I1" s="6" t="s">
        <v>9</v>
      </c>
      <c r="J1" s="6" t="s">
        <v>10</v>
      </c>
      <c r="K1" s="6" t="s">
        <v>11</v>
      </c>
      <c r="L1" s="6" t="s">
        <v>12</v>
      </c>
    </row>
    <row r="2" spans="1:12">
      <c r="A2" s="7" t="s">
        <v>110</v>
      </c>
      <c r="B2" s="7">
        <v>80114062</v>
      </c>
      <c r="C2" s="7" t="s">
        <v>27</v>
      </c>
      <c r="D2" s="7" t="s">
        <v>111</v>
      </c>
      <c r="E2" s="7"/>
      <c r="F2" s="7"/>
      <c r="G2" s="7"/>
      <c r="H2" s="7"/>
      <c r="I2" s="7"/>
      <c r="J2" s="7"/>
      <c r="K2" s="7"/>
      <c r="L2" s="7"/>
    </row>
    <row r="3" spans="1:12">
      <c r="A3" s="7" t="s">
        <v>229</v>
      </c>
      <c r="B3" s="7">
        <v>80100651</v>
      </c>
      <c r="C3" s="7" t="s">
        <v>27</v>
      </c>
      <c r="D3" s="7" t="s">
        <v>111</v>
      </c>
      <c r="E3" s="7"/>
      <c r="F3" s="7"/>
      <c r="G3" s="7"/>
      <c r="H3" s="7"/>
      <c r="I3" s="7"/>
      <c r="J3" s="7"/>
      <c r="K3" s="7"/>
      <c r="L3" s="7"/>
    </row>
    <row r="4" spans="1:12">
      <c r="A4" s="7" t="s">
        <v>220</v>
      </c>
      <c r="B4" s="7">
        <v>80129760</v>
      </c>
      <c r="C4" s="7" t="s">
        <v>27</v>
      </c>
      <c r="D4" s="7" t="s">
        <v>111</v>
      </c>
      <c r="E4" s="7"/>
      <c r="F4" s="7"/>
      <c r="G4" s="7"/>
      <c r="H4" s="7"/>
      <c r="I4" s="7"/>
      <c r="J4" s="7"/>
      <c r="K4" s="7"/>
      <c r="L4" s="7"/>
    </row>
    <row r="5" spans="1:12">
      <c r="A5" s="7" t="s">
        <v>223</v>
      </c>
      <c r="B5" s="7">
        <v>80125895</v>
      </c>
      <c r="C5" s="7" t="s">
        <v>27</v>
      </c>
      <c r="D5" s="7" t="s">
        <v>111</v>
      </c>
      <c r="E5" s="7"/>
      <c r="F5" s="7"/>
      <c r="G5" s="7"/>
      <c r="H5" s="7" t="s">
        <v>180</v>
      </c>
      <c r="I5" s="7"/>
      <c r="J5" s="7"/>
      <c r="K5" s="7"/>
      <c r="L5" s="7"/>
    </row>
    <row r="6" spans="1:12">
      <c r="A6" s="7" t="s">
        <v>408</v>
      </c>
      <c r="B6" s="7">
        <v>80121715</v>
      </c>
      <c r="C6" s="7" t="s">
        <v>27</v>
      </c>
      <c r="D6" s="7" t="s">
        <v>111</v>
      </c>
      <c r="E6" s="7"/>
      <c r="F6" s="7"/>
      <c r="G6" s="7"/>
      <c r="H6" s="7"/>
      <c r="I6" s="7"/>
      <c r="J6" s="7"/>
      <c r="K6" s="7"/>
      <c r="L6" s="7" t="s">
        <v>180</v>
      </c>
    </row>
    <row r="7" spans="1:12">
      <c r="A7" s="7" t="s">
        <v>122</v>
      </c>
      <c r="B7" s="7">
        <v>80104727</v>
      </c>
      <c r="C7" s="7" t="s">
        <v>46</v>
      </c>
      <c r="D7" s="7" t="s">
        <v>123</v>
      </c>
      <c r="E7" s="7"/>
      <c r="F7" s="7"/>
      <c r="G7" s="7"/>
      <c r="H7" s="7"/>
      <c r="I7" s="7"/>
      <c r="J7" s="7"/>
      <c r="K7" s="7"/>
      <c r="L7" s="7"/>
    </row>
    <row r="8" spans="1:12">
      <c r="A8" s="7" t="s">
        <v>213</v>
      </c>
      <c r="B8" s="7">
        <v>80056015</v>
      </c>
      <c r="C8" s="7" t="s">
        <v>46</v>
      </c>
      <c r="D8" s="7" t="s">
        <v>123</v>
      </c>
      <c r="E8" s="7"/>
      <c r="F8" s="7"/>
      <c r="G8" s="7"/>
      <c r="H8" s="7"/>
      <c r="I8" s="7"/>
      <c r="J8" s="7"/>
      <c r="K8" s="7"/>
      <c r="L8" s="7"/>
    </row>
    <row r="9" spans="1:12">
      <c r="A9" s="7" t="s">
        <v>305</v>
      </c>
      <c r="B9" s="7">
        <v>80129208</v>
      </c>
      <c r="C9" s="7" t="s">
        <v>46</v>
      </c>
      <c r="D9" s="7" t="s">
        <v>123</v>
      </c>
      <c r="E9" s="7"/>
      <c r="F9" s="7"/>
      <c r="G9" s="7"/>
      <c r="H9" s="7"/>
      <c r="I9" s="7"/>
      <c r="J9" s="7"/>
      <c r="K9" s="7"/>
      <c r="L9" s="7"/>
    </row>
    <row r="10" spans="1:12">
      <c r="A10" s="7" t="s">
        <v>308</v>
      </c>
      <c r="B10" s="7">
        <v>80129340</v>
      </c>
      <c r="C10" s="7" t="s">
        <v>46</v>
      </c>
      <c r="D10" s="7" t="s">
        <v>123</v>
      </c>
      <c r="E10" s="7"/>
      <c r="F10" s="7"/>
      <c r="G10" s="7"/>
      <c r="H10" s="7"/>
      <c r="I10" s="7"/>
      <c r="J10" s="7"/>
      <c r="K10" s="7"/>
      <c r="L10" s="7"/>
    </row>
    <row r="11" spans="1:12">
      <c r="A11" s="7" t="s">
        <v>348</v>
      </c>
      <c r="B11" s="7">
        <v>80127543</v>
      </c>
      <c r="C11" s="7" t="s">
        <v>46</v>
      </c>
      <c r="D11" s="7" t="s">
        <v>123</v>
      </c>
      <c r="E11" s="7"/>
      <c r="F11" s="7"/>
      <c r="G11" s="7"/>
      <c r="H11" s="7"/>
      <c r="I11" s="7"/>
      <c r="J11" s="7"/>
      <c r="K11" s="7"/>
      <c r="L11" s="7"/>
    </row>
    <row r="12" spans="1:12">
      <c r="A12" s="7" t="s">
        <v>297</v>
      </c>
      <c r="B12" s="7">
        <v>80119103</v>
      </c>
      <c r="C12" s="7" t="s">
        <v>18</v>
      </c>
      <c r="D12" s="7" t="s">
        <v>109</v>
      </c>
      <c r="E12" s="7"/>
      <c r="F12" s="7" t="s">
        <v>180</v>
      </c>
      <c r="G12" s="7" t="s">
        <v>425</v>
      </c>
      <c r="H12" s="7"/>
      <c r="I12" s="7"/>
      <c r="J12" s="7"/>
      <c r="K12" s="7"/>
      <c r="L12" s="7"/>
    </row>
    <row r="13" spans="1:12">
      <c r="A13" s="7" t="s">
        <v>284</v>
      </c>
      <c r="B13" s="7">
        <v>80123775</v>
      </c>
      <c r="C13" s="7" t="s">
        <v>18</v>
      </c>
      <c r="D13" s="7" t="s">
        <v>109</v>
      </c>
      <c r="E13" s="7"/>
      <c r="F13" s="7"/>
      <c r="G13" s="7" t="s">
        <v>180</v>
      </c>
      <c r="H13" s="7"/>
      <c r="I13" s="7"/>
      <c r="J13" s="7" t="s">
        <v>426</v>
      </c>
      <c r="K13" s="7"/>
      <c r="L13" s="7"/>
    </row>
    <row r="14" spans="1:12">
      <c r="A14" s="7" t="s">
        <v>108</v>
      </c>
      <c r="B14" s="7">
        <v>80127861</v>
      </c>
      <c r="C14" s="7" t="s">
        <v>18</v>
      </c>
      <c r="D14" s="7" t="s">
        <v>109</v>
      </c>
      <c r="E14" s="7"/>
      <c r="F14" s="7"/>
      <c r="G14" s="7"/>
      <c r="H14" s="7"/>
      <c r="I14" s="7"/>
      <c r="J14" s="7"/>
      <c r="K14" s="7"/>
      <c r="L14" s="7"/>
    </row>
    <row r="15" spans="1:12">
      <c r="A15" s="7" t="s">
        <v>238</v>
      </c>
      <c r="B15" s="7">
        <v>80114193</v>
      </c>
      <c r="C15" s="7" t="s">
        <v>18</v>
      </c>
      <c r="D15" s="7" t="s">
        <v>109</v>
      </c>
      <c r="E15" s="7"/>
      <c r="F15" s="7"/>
      <c r="G15" s="7"/>
      <c r="H15" s="7"/>
      <c r="I15" s="7"/>
      <c r="J15" s="7"/>
      <c r="K15" s="7"/>
      <c r="L15" s="7"/>
    </row>
    <row r="16" spans="1:12">
      <c r="A16" s="7" t="s">
        <v>244</v>
      </c>
      <c r="B16" s="7">
        <v>80126641</v>
      </c>
      <c r="C16" s="7" t="s">
        <v>18</v>
      </c>
      <c r="D16" s="7" t="s">
        <v>109</v>
      </c>
      <c r="E16" s="7"/>
      <c r="F16" s="7"/>
      <c r="G16" s="7"/>
      <c r="H16" s="7"/>
      <c r="I16" s="7"/>
      <c r="J16" s="7"/>
      <c r="K16" s="7"/>
      <c r="L16" s="7"/>
    </row>
    <row r="17" spans="1:12">
      <c r="A17" s="7" t="s">
        <v>245</v>
      </c>
      <c r="B17" s="7">
        <v>80054232</v>
      </c>
      <c r="C17" s="7" t="s">
        <v>18</v>
      </c>
      <c r="D17" s="7" t="s">
        <v>109</v>
      </c>
      <c r="E17" s="7"/>
      <c r="F17" s="7"/>
      <c r="G17" s="7"/>
      <c r="H17" s="7"/>
      <c r="I17" s="7"/>
      <c r="J17" s="7"/>
      <c r="K17" s="7"/>
      <c r="L17" s="7"/>
    </row>
    <row r="18" spans="1:12">
      <c r="A18" s="7" t="s">
        <v>227</v>
      </c>
      <c r="B18" s="7">
        <v>80123750</v>
      </c>
      <c r="C18" s="7" t="s">
        <v>18</v>
      </c>
      <c r="D18" s="7" t="s">
        <v>109</v>
      </c>
      <c r="E18" s="7"/>
      <c r="F18" s="7"/>
      <c r="G18" s="7"/>
      <c r="H18" s="7"/>
      <c r="I18" s="7"/>
      <c r="J18" s="7"/>
      <c r="K18" s="7"/>
      <c r="L18" s="7"/>
    </row>
    <row r="19" spans="1:12">
      <c r="A19" s="7" t="s">
        <v>214</v>
      </c>
      <c r="B19" s="7">
        <v>80062698</v>
      </c>
      <c r="C19" s="7" t="s">
        <v>18</v>
      </c>
      <c r="D19" s="7" t="s">
        <v>109</v>
      </c>
      <c r="E19" s="7"/>
      <c r="F19" s="7"/>
      <c r="G19" s="7"/>
      <c r="H19" s="7"/>
      <c r="I19" s="7"/>
      <c r="J19" s="7"/>
      <c r="K19" s="7"/>
      <c r="L19" s="7"/>
    </row>
    <row r="20" spans="1:12">
      <c r="A20" s="7" t="s">
        <v>419</v>
      </c>
      <c r="B20" s="7">
        <v>80127740</v>
      </c>
      <c r="C20" s="7" t="s">
        <v>18</v>
      </c>
      <c r="D20" s="7" t="s">
        <v>109</v>
      </c>
      <c r="E20" s="7" t="s">
        <v>179</v>
      </c>
      <c r="F20" s="7" t="s">
        <v>180</v>
      </c>
      <c r="G20" s="7" t="s">
        <v>180</v>
      </c>
      <c r="H20" s="7" t="s">
        <v>180</v>
      </c>
      <c r="I20" s="7" t="s">
        <v>180</v>
      </c>
      <c r="J20" s="7"/>
      <c r="K20" s="7"/>
      <c r="L20" s="7"/>
    </row>
    <row r="21" spans="1:12">
      <c r="A21" s="7" t="s">
        <v>420</v>
      </c>
      <c r="B21" s="7">
        <v>80129748</v>
      </c>
      <c r="C21" s="7" t="s">
        <v>18</v>
      </c>
      <c r="D21" s="7" t="s">
        <v>109</v>
      </c>
      <c r="E21" s="7" t="s">
        <v>180</v>
      </c>
      <c r="F21" s="7" t="s">
        <v>180</v>
      </c>
      <c r="G21" s="7" t="s">
        <v>180</v>
      </c>
      <c r="H21" s="7"/>
      <c r="I21" s="7"/>
      <c r="J21" s="7"/>
      <c r="K21" s="7"/>
      <c r="L21" s="7"/>
    </row>
    <row r="22" spans="1:12">
      <c r="A22" s="7" t="s">
        <v>260</v>
      </c>
      <c r="B22" s="7">
        <v>80125513</v>
      </c>
      <c r="C22" s="7" t="s">
        <v>18</v>
      </c>
      <c r="D22" s="7" t="s">
        <v>109</v>
      </c>
      <c r="E22" s="7" t="s">
        <v>179</v>
      </c>
      <c r="F22" s="7"/>
      <c r="G22" s="7"/>
      <c r="H22" s="7"/>
      <c r="I22" s="7"/>
      <c r="J22" s="7"/>
      <c r="K22" s="7" t="s">
        <v>179</v>
      </c>
      <c r="L22" s="7" t="s">
        <v>180</v>
      </c>
    </row>
    <row r="23" spans="1:12">
      <c r="A23" s="7" t="s">
        <v>278</v>
      </c>
      <c r="B23" s="7">
        <v>80102782</v>
      </c>
      <c r="C23" s="7" t="s">
        <v>225</v>
      </c>
      <c r="D23" s="7" t="s">
        <v>109</v>
      </c>
      <c r="E23" s="7"/>
      <c r="F23" s="7"/>
      <c r="G23" s="7"/>
      <c r="H23" s="7"/>
      <c r="I23" s="7"/>
      <c r="J23" s="7"/>
      <c r="K23" s="7"/>
      <c r="L23" s="7"/>
    </row>
    <row r="24" spans="1:12">
      <c r="A24" s="7" t="s">
        <v>421</v>
      </c>
      <c r="B24" s="7">
        <v>80128768</v>
      </c>
      <c r="C24" s="7" t="s">
        <v>41</v>
      </c>
      <c r="D24" s="7" t="s">
        <v>59</v>
      </c>
      <c r="E24" s="7" t="s">
        <v>180</v>
      </c>
      <c r="F24" s="7" t="s">
        <v>180</v>
      </c>
      <c r="G24" s="7"/>
      <c r="H24" s="7" t="s">
        <v>180</v>
      </c>
      <c r="I24" s="7" t="s">
        <v>180</v>
      </c>
      <c r="J24" s="7"/>
      <c r="K24" s="7"/>
      <c r="L24" s="7"/>
    </row>
    <row r="25" spans="1:12">
      <c r="A25" s="7" t="s">
        <v>251</v>
      </c>
      <c r="B25" s="7">
        <v>80105333</v>
      </c>
      <c r="C25" s="7" t="s">
        <v>41</v>
      </c>
      <c r="D25" s="7" t="s">
        <v>59</v>
      </c>
      <c r="E25" s="7"/>
      <c r="F25" s="7"/>
      <c r="G25" s="7"/>
      <c r="H25" s="7"/>
      <c r="I25" s="7"/>
      <c r="J25" s="7"/>
      <c r="K25" s="7"/>
      <c r="L25" s="7"/>
    </row>
    <row r="26" spans="1:12">
      <c r="A26" s="7" t="s">
        <v>58</v>
      </c>
      <c r="B26" s="7">
        <v>80123346</v>
      </c>
      <c r="C26" s="7" t="s">
        <v>41</v>
      </c>
      <c r="D26" s="7" t="s">
        <v>59</v>
      </c>
      <c r="E26" s="7"/>
      <c r="F26" s="7"/>
      <c r="G26" s="7"/>
      <c r="H26" s="7"/>
      <c r="I26" s="7"/>
      <c r="J26" s="7"/>
      <c r="K26" s="7"/>
      <c r="L26" s="7"/>
    </row>
    <row r="27" spans="1:12">
      <c r="A27" s="7" t="s">
        <v>359</v>
      </c>
      <c r="B27" s="7">
        <v>80127575</v>
      </c>
      <c r="C27" s="7" t="s">
        <v>41</v>
      </c>
      <c r="D27" s="7" t="s">
        <v>59</v>
      </c>
      <c r="E27" s="7"/>
      <c r="F27" s="7"/>
      <c r="G27" s="7"/>
      <c r="H27" s="7"/>
      <c r="I27" s="7"/>
      <c r="J27" s="7"/>
      <c r="K27" s="7"/>
      <c r="L27" s="7"/>
    </row>
    <row r="28" spans="1:12">
      <c r="A28" s="7" t="s">
        <v>337</v>
      </c>
      <c r="B28" s="7">
        <v>80129401</v>
      </c>
      <c r="C28" s="7" t="s">
        <v>41</v>
      </c>
      <c r="D28" s="7" t="s">
        <v>59</v>
      </c>
      <c r="E28" s="7"/>
      <c r="F28" s="7" t="s">
        <v>427</v>
      </c>
      <c r="G28" s="7"/>
      <c r="H28" s="7"/>
      <c r="I28" s="7"/>
      <c r="J28" s="7"/>
      <c r="K28" s="7"/>
      <c r="L28" s="7"/>
    </row>
    <row r="29" spans="1:12">
      <c r="A29" s="7" t="s">
        <v>203</v>
      </c>
      <c r="B29" s="7">
        <v>80129410</v>
      </c>
      <c r="C29" s="7" t="s">
        <v>27</v>
      </c>
      <c r="D29" s="7" t="s">
        <v>93</v>
      </c>
      <c r="E29" s="7"/>
      <c r="F29" s="7"/>
      <c r="G29" s="7"/>
      <c r="H29" s="7" t="s">
        <v>425</v>
      </c>
      <c r="I29" s="7"/>
      <c r="J29" s="7" t="s">
        <v>428</v>
      </c>
      <c r="K29" s="7"/>
      <c r="L29" s="7"/>
    </row>
    <row r="30" spans="1:12">
      <c r="A30" s="7" t="s">
        <v>92</v>
      </c>
      <c r="B30" s="7">
        <v>80129022</v>
      </c>
      <c r="C30" s="7" t="s">
        <v>27</v>
      </c>
      <c r="D30" s="7" t="s">
        <v>93</v>
      </c>
      <c r="E30" s="7"/>
      <c r="F30" s="7"/>
      <c r="G30" s="7" t="s">
        <v>425</v>
      </c>
      <c r="H30" s="7"/>
      <c r="I30" s="7" t="s">
        <v>180</v>
      </c>
      <c r="J30" s="7"/>
      <c r="K30" s="7"/>
      <c r="L30" s="7"/>
    </row>
    <row r="31" spans="1:12">
      <c r="A31" s="7" t="s">
        <v>327</v>
      </c>
      <c r="B31" s="7">
        <v>80104250</v>
      </c>
      <c r="C31" s="7" t="s">
        <v>27</v>
      </c>
      <c r="D31" s="7" t="s">
        <v>93</v>
      </c>
      <c r="E31" s="7"/>
      <c r="F31" s="7"/>
      <c r="G31" s="7"/>
      <c r="H31" s="7"/>
      <c r="I31" s="7"/>
      <c r="J31" s="7"/>
      <c r="K31" s="7"/>
      <c r="L31" s="7"/>
    </row>
    <row r="32" spans="1:12">
      <c r="A32" s="7" t="s">
        <v>319</v>
      </c>
      <c r="B32" s="7">
        <v>80076842</v>
      </c>
      <c r="C32" s="7" t="s">
        <v>27</v>
      </c>
      <c r="D32" s="7" t="s">
        <v>93</v>
      </c>
      <c r="E32" s="7"/>
      <c r="F32" s="7"/>
      <c r="G32" s="7"/>
      <c r="H32" s="7"/>
      <c r="I32" s="7"/>
      <c r="J32" s="7"/>
      <c r="K32" s="7"/>
      <c r="L32" s="7"/>
    </row>
    <row r="33" spans="1:12">
      <c r="A33" s="7" t="s">
        <v>259</v>
      </c>
      <c r="B33" s="7">
        <v>80124483</v>
      </c>
      <c r="C33" s="7" t="s">
        <v>27</v>
      </c>
      <c r="D33" s="7" t="s">
        <v>93</v>
      </c>
      <c r="E33" s="7"/>
      <c r="F33" s="7"/>
      <c r="G33" s="7"/>
      <c r="H33" s="7"/>
      <c r="I33" s="7"/>
      <c r="J33" s="7"/>
      <c r="K33" s="7"/>
      <c r="L33" s="7"/>
    </row>
    <row r="34" spans="1:12">
      <c r="A34" s="7" t="s">
        <v>296</v>
      </c>
      <c r="B34" s="7">
        <v>80052647</v>
      </c>
      <c r="C34" s="7" t="s">
        <v>18</v>
      </c>
      <c r="D34" s="7" t="s">
        <v>99</v>
      </c>
      <c r="E34" s="7"/>
      <c r="F34" s="7"/>
      <c r="G34" s="7"/>
      <c r="H34" s="7"/>
      <c r="I34" s="7"/>
      <c r="J34" s="7"/>
      <c r="K34" s="7"/>
      <c r="L34" s="7"/>
    </row>
    <row r="35" spans="1:12">
      <c r="A35" s="7" t="s">
        <v>286</v>
      </c>
      <c r="B35" s="7">
        <v>80092502</v>
      </c>
      <c r="C35" s="7" t="s">
        <v>18</v>
      </c>
      <c r="D35" s="7" t="s">
        <v>99</v>
      </c>
      <c r="E35" s="7"/>
      <c r="F35" s="7"/>
      <c r="G35" s="7"/>
      <c r="H35" s="7"/>
      <c r="I35" s="7"/>
      <c r="J35" s="7"/>
      <c r="K35" s="7"/>
      <c r="L35" s="7"/>
    </row>
    <row r="36" spans="1:12">
      <c r="A36" s="7" t="s">
        <v>287</v>
      </c>
      <c r="B36" s="7">
        <v>80045913</v>
      </c>
      <c r="C36" s="7" t="s">
        <v>18</v>
      </c>
      <c r="D36" s="7" t="s">
        <v>99</v>
      </c>
      <c r="E36" s="7"/>
      <c r="F36" s="7"/>
      <c r="G36" s="7"/>
      <c r="H36" s="7"/>
      <c r="I36" s="7"/>
      <c r="J36" s="7"/>
      <c r="K36" s="7"/>
      <c r="L36" s="7"/>
    </row>
    <row r="37" spans="1:12">
      <c r="A37" s="7" t="s">
        <v>261</v>
      </c>
      <c r="B37" s="7">
        <v>80062113</v>
      </c>
      <c r="C37" s="7" t="s">
        <v>18</v>
      </c>
      <c r="D37" s="7" t="s">
        <v>99</v>
      </c>
      <c r="E37" s="7"/>
      <c r="F37" s="7"/>
      <c r="G37" s="7"/>
      <c r="H37" s="7"/>
      <c r="I37" s="7"/>
      <c r="J37" s="7"/>
      <c r="K37" s="7"/>
      <c r="L37" s="7"/>
    </row>
    <row r="38" spans="1:12">
      <c r="A38" s="7" t="s">
        <v>235</v>
      </c>
      <c r="B38" s="7">
        <v>80016041</v>
      </c>
      <c r="C38" s="7" t="s">
        <v>171</v>
      </c>
      <c r="D38" s="7" t="s">
        <v>99</v>
      </c>
      <c r="E38" s="7" t="s">
        <v>179</v>
      </c>
      <c r="F38" s="7"/>
      <c r="G38" s="7"/>
      <c r="H38" s="7"/>
      <c r="I38" s="7"/>
      <c r="J38" s="7"/>
      <c r="K38" s="7"/>
      <c r="L38" s="7"/>
    </row>
    <row r="39" spans="1:12">
      <c r="A39" s="7" t="s">
        <v>331</v>
      </c>
      <c r="B39" s="7">
        <v>80083603</v>
      </c>
      <c r="C39" s="7" t="s">
        <v>18</v>
      </c>
      <c r="D39" s="7" t="s">
        <v>99</v>
      </c>
      <c r="E39" s="7"/>
      <c r="F39" s="7"/>
      <c r="G39" s="7"/>
      <c r="H39" s="7"/>
      <c r="I39" s="7"/>
      <c r="J39" s="7"/>
      <c r="K39" s="7"/>
      <c r="L39" s="7"/>
    </row>
    <row r="40" spans="1:12">
      <c r="A40" s="7" t="s">
        <v>98</v>
      </c>
      <c r="B40" s="7">
        <v>80117786</v>
      </c>
      <c r="C40" s="7" t="s">
        <v>18</v>
      </c>
      <c r="D40" s="7" t="s">
        <v>99</v>
      </c>
      <c r="E40" s="7"/>
      <c r="F40" s="7"/>
      <c r="G40" s="7"/>
      <c r="H40" s="7"/>
      <c r="I40" s="7"/>
      <c r="J40" s="7"/>
      <c r="K40" s="7"/>
      <c r="L40" s="7"/>
    </row>
    <row r="41" spans="1:12">
      <c r="A41" s="7" t="s">
        <v>106</v>
      </c>
      <c r="B41" s="7">
        <v>80126589</v>
      </c>
      <c r="C41" s="7" t="s">
        <v>41</v>
      </c>
      <c r="D41" s="7" t="s">
        <v>107</v>
      </c>
      <c r="E41" s="7"/>
      <c r="F41" s="7"/>
      <c r="G41" s="7"/>
      <c r="H41" s="7"/>
      <c r="I41" s="7"/>
      <c r="J41" s="7"/>
      <c r="K41" s="7"/>
      <c r="L41" s="7"/>
    </row>
    <row r="42" spans="1:12">
      <c r="A42" s="7" t="s">
        <v>396</v>
      </c>
      <c r="B42" s="7">
        <v>80094240</v>
      </c>
      <c r="C42" s="7" t="s">
        <v>41</v>
      </c>
      <c r="D42" s="7" t="s">
        <v>107</v>
      </c>
      <c r="E42" s="7"/>
      <c r="F42" s="7"/>
      <c r="G42" s="7" t="s">
        <v>425</v>
      </c>
      <c r="H42" s="7"/>
      <c r="I42" s="7"/>
      <c r="J42" s="7"/>
      <c r="K42" s="7"/>
      <c r="L42" s="7"/>
    </row>
    <row r="43" spans="1:12">
      <c r="A43" s="7" t="s">
        <v>341</v>
      </c>
      <c r="B43" s="7">
        <v>80119119</v>
      </c>
      <c r="C43" s="7" t="s">
        <v>41</v>
      </c>
      <c r="D43" s="7" t="s">
        <v>107</v>
      </c>
      <c r="E43" s="7"/>
      <c r="F43" s="7"/>
      <c r="G43" s="7"/>
      <c r="H43" s="7"/>
      <c r="I43" s="7"/>
      <c r="J43" s="7"/>
      <c r="K43" s="7"/>
      <c r="L43" s="7"/>
    </row>
    <row r="44" spans="1:12">
      <c r="A44" s="7" t="s">
        <v>292</v>
      </c>
      <c r="B44" s="7">
        <v>80126805</v>
      </c>
      <c r="C44" s="7" t="s">
        <v>27</v>
      </c>
      <c r="D44" s="7" t="s">
        <v>67</v>
      </c>
      <c r="E44" s="7"/>
      <c r="F44" s="7"/>
      <c r="G44" s="7"/>
      <c r="H44" s="7"/>
      <c r="I44" s="7"/>
      <c r="J44" s="7"/>
      <c r="K44" s="7"/>
      <c r="L44" s="7"/>
    </row>
    <row r="45" spans="1:12">
      <c r="A45" s="7" t="s">
        <v>263</v>
      </c>
      <c r="B45" s="7">
        <v>80129477</v>
      </c>
      <c r="C45" s="7" t="s">
        <v>27</v>
      </c>
      <c r="D45" s="7" t="s">
        <v>67</v>
      </c>
      <c r="E45" s="7"/>
      <c r="F45" s="7"/>
      <c r="G45" s="7"/>
      <c r="H45" s="7"/>
      <c r="I45" s="7"/>
      <c r="J45" s="7"/>
      <c r="K45" s="7"/>
      <c r="L45" s="7"/>
    </row>
    <row r="46" spans="1:12">
      <c r="A46" s="7" t="s">
        <v>66</v>
      </c>
      <c r="B46" s="7">
        <v>80092788</v>
      </c>
      <c r="C46" s="7" t="s">
        <v>27</v>
      </c>
      <c r="D46" s="7" t="s">
        <v>67</v>
      </c>
      <c r="E46" s="7"/>
      <c r="F46" s="7"/>
      <c r="G46" s="7"/>
      <c r="H46" s="7"/>
      <c r="I46" s="7"/>
      <c r="J46" s="7"/>
      <c r="K46" s="7"/>
      <c r="L46" s="7"/>
    </row>
    <row r="47" spans="1:12">
      <c r="A47" s="7" t="s">
        <v>330</v>
      </c>
      <c r="B47" s="7">
        <v>80103831</v>
      </c>
      <c r="C47" s="7" t="s">
        <v>27</v>
      </c>
      <c r="D47" s="7" t="s">
        <v>67</v>
      </c>
      <c r="E47" s="7"/>
      <c r="F47" s="7"/>
      <c r="G47" s="7"/>
      <c r="H47" s="7"/>
      <c r="I47" s="7"/>
      <c r="J47" s="7"/>
      <c r="K47" s="7"/>
      <c r="L47" s="7"/>
    </row>
    <row r="48" spans="1:12">
      <c r="A48" s="7" t="s">
        <v>50</v>
      </c>
      <c r="B48" s="7">
        <v>80122126</v>
      </c>
      <c r="C48" s="7" t="s">
        <v>18</v>
      </c>
      <c r="D48" s="7" t="s">
        <v>51</v>
      </c>
      <c r="E48" s="7"/>
      <c r="F48" s="7"/>
      <c r="G48" s="7"/>
      <c r="H48" s="7"/>
      <c r="I48" s="7"/>
      <c r="J48" s="7"/>
      <c r="K48" s="7"/>
      <c r="L48" s="7"/>
    </row>
    <row r="49" spans="1:12">
      <c r="A49" s="7" t="s">
        <v>402</v>
      </c>
      <c r="B49" s="7">
        <v>80086686</v>
      </c>
      <c r="C49" s="7" t="s">
        <v>18</v>
      </c>
      <c r="D49" s="7" t="s">
        <v>51</v>
      </c>
      <c r="E49" s="7"/>
      <c r="F49" s="7"/>
      <c r="G49" s="7"/>
      <c r="H49" s="7"/>
      <c r="I49" s="7"/>
      <c r="J49" s="7"/>
      <c r="K49" s="7"/>
      <c r="L49" s="7"/>
    </row>
    <row r="50" spans="1:12">
      <c r="A50" s="7" t="s">
        <v>403</v>
      </c>
      <c r="B50" s="7">
        <v>80084345</v>
      </c>
      <c r="C50" s="7" t="s">
        <v>18</v>
      </c>
      <c r="D50" s="7" t="s">
        <v>51</v>
      </c>
      <c r="E50" s="7"/>
      <c r="F50" s="7"/>
      <c r="G50" s="7"/>
      <c r="H50" s="7"/>
      <c r="I50" s="7"/>
      <c r="J50" s="7"/>
      <c r="K50" s="7"/>
      <c r="L50" s="7"/>
    </row>
    <row r="51" spans="1:12">
      <c r="A51" s="7" t="s">
        <v>410</v>
      </c>
      <c r="B51" s="7">
        <v>80125131</v>
      </c>
      <c r="C51" s="7" t="s">
        <v>18</v>
      </c>
      <c r="D51" s="7" t="s">
        <v>51</v>
      </c>
      <c r="E51" s="7"/>
      <c r="F51" s="7"/>
      <c r="G51" s="7"/>
      <c r="H51" s="7"/>
      <c r="I51" s="7"/>
      <c r="J51" s="7"/>
      <c r="K51" s="7"/>
      <c r="L51" s="7"/>
    </row>
    <row r="52" spans="1:12">
      <c r="A52" s="7" t="s">
        <v>202</v>
      </c>
      <c r="B52" s="7">
        <v>80074513</v>
      </c>
      <c r="C52" s="7" t="s">
        <v>18</v>
      </c>
      <c r="D52" s="7" t="s">
        <v>51</v>
      </c>
      <c r="E52" s="7"/>
      <c r="F52" s="7"/>
      <c r="G52" s="7"/>
      <c r="H52" s="7"/>
      <c r="I52" s="7"/>
      <c r="J52" s="7"/>
      <c r="K52" s="7"/>
      <c r="L52" s="7"/>
    </row>
    <row r="53" spans="1:12">
      <c r="A53" s="7" t="s">
        <v>255</v>
      </c>
      <c r="B53" s="7">
        <v>80000659</v>
      </c>
      <c r="C53" s="7" t="s">
        <v>18</v>
      </c>
      <c r="D53" s="7" t="s">
        <v>51</v>
      </c>
      <c r="E53" s="7"/>
      <c r="F53" s="7"/>
      <c r="G53" s="7"/>
      <c r="H53" s="7"/>
      <c r="I53" s="7"/>
      <c r="J53" s="7"/>
      <c r="K53" s="7"/>
      <c r="L53" s="7"/>
    </row>
    <row r="54" spans="1:12">
      <c r="A54" s="7" t="s">
        <v>156</v>
      </c>
      <c r="B54" s="7">
        <v>80122132</v>
      </c>
      <c r="C54" s="7" t="s">
        <v>41</v>
      </c>
      <c r="D54" s="7" t="s">
        <v>157</v>
      </c>
      <c r="E54" s="7"/>
      <c r="F54" s="7"/>
      <c r="G54" s="7"/>
      <c r="H54" s="7"/>
      <c r="I54" s="7"/>
      <c r="J54" s="7"/>
      <c r="K54" s="7"/>
      <c r="L54" s="7"/>
    </row>
    <row r="55" spans="1:12">
      <c r="A55" s="7" t="s">
        <v>314</v>
      </c>
      <c r="B55" s="7">
        <v>80114091</v>
      </c>
      <c r="C55" s="7" t="s">
        <v>41</v>
      </c>
      <c r="D55" s="7" t="s">
        <v>157</v>
      </c>
      <c r="E55" s="7"/>
      <c r="F55" s="7"/>
      <c r="G55" s="7"/>
      <c r="H55" s="7"/>
      <c r="I55" s="7"/>
      <c r="J55" s="7"/>
      <c r="K55" s="7"/>
      <c r="L55" s="7"/>
    </row>
    <row r="56" spans="1:12">
      <c r="A56" s="7" t="s">
        <v>358</v>
      </c>
      <c r="B56" s="7">
        <v>80031468</v>
      </c>
      <c r="C56" s="7" t="s">
        <v>41</v>
      </c>
      <c r="D56" s="7" t="s">
        <v>157</v>
      </c>
      <c r="E56" s="7"/>
      <c r="F56" s="7"/>
      <c r="G56" s="7"/>
      <c r="H56" s="7"/>
      <c r="I56" s="7"/>
      <c r="J56" s="7"/>
      <c r="K56" s="7"/>
      <c r="L56" s="7"/>
    </row>
    <row r="57" spans="1:12">
      <c r="A57" s="7" t="s">
        <v>302</v>
      </c>
      <c r="B57" s="7">
        <v>80084141</v>
      </c>
      <c r="C57" s="7" t="s">
        <v>30</v>
      </c>
      <c r="D57" s="7" t="s">
        <v>129</v>
      </c>
      <c r="E57" s="7"/>
      <c r="F57" s="7"/>
      <c r="G57" s="7"/>
      <c r="H57" s="7"/>
      <c r="I57" s="7"/>
      <c r="J57" s="7"/>
      <c r="K57" s="7"/>
      <c r="L57" s="7"/>
    </row>
    <row r="58" spans="1:12">
      <c r="A58" s="7" t="s">
        <v>267</v>
      </c>
      <c r="B58" s="7">
        <v>80085854</v>
      </c>
      <c r="C58" s="7" t="s">
        <v>30</v>
      </c>
      <c r="D58" s="7" t="s">
        <v>129</v>
      </c>
      <c r="E58" s="7"/>
      <c r="F58" s="7"/>
      <c r="G58" s="7"/>
      <c r="H58" s="7"/>
      <c r="I58" s="7"/>
      <c r="J58" s="7"/>
      <c r="K58" s="7"/>
      <c r="L58" s="7"/>
    </row>
    <row r="59" spans="1:12">
      <c r="A59" s="7" t="s">
        <v>269</v>
      </c>
      <c r="B59" s="7">
        <v>80124866</v>
      </c>
      <c r="C59" s="7" t="s">
        <v>30</v>
      </c>
      <c r="D59" s="7" t="s">
        <v>129</v>
      </c>
      <c r="E59" s="7"/>
      <c r="F59" s="7"/>
      <c r="G59" s="7"/>
      <c r="H59" s="7"/>
      <c r="I59" s="7"/>
      <c r="J59" s="7"/>
      <c r="K59" s="7"/>
      <c r="L59" s="7"/>
    </row>
    <row r="60" spans="1:12">
      <c r="A60" s="7" t="s">
        <v>128</v>
      </c>
      <c r="B60" s="7">
        <v>80126588</v>
      </c>
      <c r="C60" s="7" t="s">
        <v>30</v>
      </c>
      <c r="D60" s="7" t="s">
        <v>129</v>
      </c>
      <c r="E60" s="7"/>
      <c r="F60" s="7"/>
      <c r="G60" s="7"/>
      <c r="H60" s="7"/>
      <c r="I60" s="7"/>
      <c r="J60" s="7"/>
      <c r="K60" s="7"/>
      <c r="L60" s="7" t="s">
        <v>180</v>
      </c>
    </row>
    <row r="61" spans="1:12">
      <c r="A61" s="7" t="s">
        <v>138</v>
      </c>
      <c r="B61" s="7">
        <v>80129791</v>
      </c>
      <c r="C61" s="7" t="s">
        <v>27</v>
      </c>
      <c r="D61" s="7" t="s">
        <v>139</v>
      </c>
      <c r="E61" s="7"/>
      <c r="F61" s="7"/>
      <c r="G61" s="7"/>
      <c r="H61" s="7"/>
      <c r="I61" s="7" t="s">
        <v>425</v>
      </c>
      <c r="J61" s="7"/>
      <c r="K61" s="7"/>
      <c r="L61" s="7"/>
    </row>
    <row r="62" spans="1:12">
      <c r="A62" s="7" t="s">
        <v>399</v>
      </c>
      <c r="B62" s="7">
        <v>80092195</v>
      </c>
      <c r="C62" s="7" t="s">
        <v>27</v>
      </c>
      <c r="D62" s="7" t="s">
        <v>139</v>
      </c>
      <c r="E62" s="7"/>
      <c r="F62" s="7"/>
      <c r="G62" s="7"/>
      <c r="H62" s="7"/>
      <c r="I62" s="7"/>
      <c r="J62" s="7"/>
      <c r="K62" s="7"/>
      <c r="L62" s="7"/>
    </row>
    <row r="63" spans="1:12">
      <c r="A63" s="7" t="s">
        <v>320</v>
      </c>
      <c r="B63" s="7">
        <v>80129032</v>
      </c>
      <c r="C63" s="7" t="s">
        <v>27</v>
      </c>
      <c r="D63" s="7" t="s">
        <v>139</v>
      </c>
      <c r="E63" s="7"/>
      <c r="F63" s="7"/>
      <c r="G63" s="7"/>
      <c r="H63" s="7"/>
      <c r="I63" s="7"/>
      <c r="J63" s="7"/>
      <c r="K63" s="7"/>
      <c r="L63" s="7" t="s">
        <v>180</v>
      </c>
    </row>
    <row r="64" spans="1:12">
      <c r="A64" s="7" t="s">
        <v>323</v>
      </c>
      <c r="B64" s="7">
        <v>80128890</v>
      </c>
      <c r="C64" s="7" t="s">
        <v>27</v>
      </c>
      <c r="D64" s="7" t="s">
        <v>139</v>
      </c>
      <c r="E64" s="7"/>
      <c r="F64" s="7"/>
      <c r="G64" s="7"/>
      <c r="H64" s="7"/>
      <c r="I64" s="7"/>
      <c r="J64" s="7"/>
      <c r="K64" s="7"/>
      <c r="L64" s="7"/>
    </row>
    <row r="65" spans="1:12">
      <c r="A65" s="7" t="s">
        <v>279</v>
      </c>
      <c r="B65" s="7">
        <v>80125568</v>
      </c>
      <c r="C65" s="7" t="s">
        <v>18</v>
      </c>
      <c r="D65" s="7" t="s">
        <v>19</v>
      </c>
      <c r="E65" s="7"/>
      <c r="F65" s="7"/>
      <c r="G65" s="7"/>
      <c r="H65" s="7"/>
      <c r="I65" s="7"/>
      <c r="J65" s="7"/>
      <c r="K65" s="7"/>
      <c r="L65" s="7"/>
    </row>
    <row r="66" spans="1:12">
      <c r="A66" s="7" t="s">
        <v>17</v>
      </c>
      <c r="B66" s="7">
        <v>80090048</v>
      </c>
      <c r="C66" s="7" t="s">
        <v>18</v>
      </c>
      <c r="D66" s="7" t="s">
        <v>19</v>
      </c>
      <c r="E66" s="7"/>
      <c r="F66" s="7"/>
      <c r="G66" s="7"/>
      <c r="H66" s="7"/>
      <c r="I66" s="7"/>
      <c r="J66" s="7"/>
      <c r="K66" s="7"/>
      <c r="L66" s="7"/>
    </row>
    <row r="67" spans="1:12">
      <c r="A67" s="7" t="s">
        <v>374</v>
      </c>
      <c r="B67" s="7">
        <v>80061519</v>
      </c>
      <c r="C67" s="7" t="s">
        <v>18</v>
      </c>
      <c r="D67" s="7" t="s">
        <v>19</v>
      </c>
      <c r="E67" s="7"/>
      <c r="F67" s="7"/>
      <c r="G67" s="7"/>
      <c r="H67" s="7"/>
      <c r="I67" s="7"/>
      <c r="J67" s="7"/>
      <c r="K67" s="7"/>
      <c r="L67" s="7"/>
    </row>
    <row r="68" spans="1:12">
      <c r="A68" s="7" t="s">
        <v>422</v>
      </c>
      <c r="B68" s="7">
        <v>80128126</v>
      </c>
      <c r="C68" s="7" t="s">
        <v>18</v>
      </c>
      <c r="D68" s="7" t="s">
        <v>19</v>
      </c>
      <c r="E68" s="7" t="s">
        <v>180</v>
      </c>
      <c r="F68" s="7" t="s">
        <v>180</v>
      </c>
      <c r="G68" s="7" t="s">
        <v>180</v>
      </c>
      <c r="H68" s="7" t="s">
        <v>180</v>
      </c>
      <c r="I68" s="7" t="s">
        <v>180</v>
      </c>
      <c r="J68" s="7"/>
      <c r="K68" s="7"/>
      <c r="L68" s="7"/>
    </row>
    <row r="69" spans="1:12">
      <c r="A69" s="7" t="s">
        <v>291</v>
      </c>
      <c r="B69" s="7">
        <v>80112470</v>
      </c>
      <c r="C69" s="7" t="s">
        <v>30</v>
      </c>
      <c r="D69" s="7" t="s">
        <v>103</v>
      </c>
      <c r="E69" s="7"/>
      <c r="F69" s="7"/>
      <c r="G69" s="7" t="s">
        <v>425</v>
      </c>
      <c r="H69" s="7"/>
      <c r="I69" s="7" t="s">
        <v>425</v>
      </c>
      <c r="J69" s="7"/>
      <c r="K69" s="7"/>
      <c r="L69" s="7" t="s">
        <v>180</v>
      </c>
    </row>
    <row r="70" spans="1:12">
      <c r="A70" s="7" t="s">
        <v>304</v>
      </c>
      <c r="B70" s="7">
        <v>80057838</v>
      </c>
      <c r="C70" s="7" t="s">
        <v>30</v>
      </c>
      <c r="D70" s="7" t="s">
        <v>103</v>
      </c>
      <c r="E70" s="7"/>
      <c r="F70" s="7"/>
      <c r="G70" s="7"/>
      <c r="H70" s="7"/>
      <c r="I70" s="7"/>
      <c r="J70" s="7"/>
      <c r="K70" s="7"/>
      <c r="L70" s="7"/>
    </row>
    <row r="71" spans="1:12">
      <c r="A71" s="7" t="s">
        <v>423</v>
      </c>
      <c r="B71" s="7">
        <v>80086770</v>
      </c>
      <c r="C71" s="7"/>
      <c r="D71" s="7"/>
      <c r="E71" s="7" t="s">
        <v>180</v>
      </c>
      <c r="F71" s="7" t="s">
        <v>180</v>
      </c>
      <c r="G71" s="7" t="s">
        <v>180</v>
      </c>
      <c r="H71" s="7"/>
      <c r="I71" s="7" t="s">
        <v>180</v>
      </c>
      <c r="J71" s="7"/>
      <c r="K71" s="7"/>
      <c r="L71" s="7"/>
    </row>
    <row r="72" spans="1:12">
      <c r="A72" s="7" t="s">
        <v>102</v>
      </c>
      <c r="B72" s="7">
        <v>80117590</v>
      </c>
      <c r="C72" s="7" t="s">
        <v>30</v>
      </c>
      <c r="D72" s="7" t="s">
        <v>103</v>
      </c>
      <c r="E72" s="7"/>
      <c r="F72" s="7"/>
      <c r="G72" s="7"/>
      <c r="H72" s="7" t="s">
        <v>425</v>
      </c>
      <c r="I72" s="7"/>
      <c r="J72" s="7"/>
      <c r="K72" s="7"/>
      <c r="L72" s="7"/>
    </row>
    <row r="73" spans="1:12">
      <c r="A73" s="7" t="s">
        <v>112</v>
      </c>
      <c r="B73" s="7">
        <v>80094859</v>
      </c>
      <c r="C73" s="7" t="s">
        <v>18</v>
      </c>
      <c r="D73" s="7" t="s">
        <v>113</v>
      </c>
      <c r="E73" s="7"/>
      <c r="F73" s="7"/>
      <c r="G73" s="7"/>
      <c r="H73" s="7"/>
      <c r="I73" s="7"/>
      <c r="J73" s="7"/>
      <c r="K73" s="7"/>
      <c r="L73" s="7"/>
    </row>
    <row r="74" spans="1:12">
      <c r="A74" s="7" t="s">
        <v>376</v>
      </c>
      <c r="B74" s="7">
        <v>80019625</v>
      </c>
      <c r="C74" s="7" t="s">
        <v>18</v>
      </c>
      <c r="D74" s="7" t="s">
        <v>113</v>
      </c>
      <c r="E74" s="7"/>
      <c r="F74" s="7"/>
      <c r="G74" s="7"/>
      <c r="H74" s="7"/>
      <c r="I74" s="7" t="s">
        <v>425</v>
      </c>
      <c r="J74" s="7"/>
      <c r="K74" s="7"/>
      <c r="L74" s="7"/>
    </row>
    <row r="75" spans="1:12">
      <c r="A75" s="7" t="s">
        <v>360</v>
      </c>
      <c r="B75" s="7">
        <v>80120596</v>
      </c>
      <c r="C75" s="7" t="s">
        <v>18</v>
      </c>
      <c r="D75" s="7" t="s">
        <v>113</v>
      </c>
      <c r="E75" s="7"/>
      <c r="F75" s="7"/>
      <c r="G75" s="7"/>
      <c r="H75" s="7"/>
      <c r="I75" s="7"/>
      <c r="J75" s="7"/>
      <c r="K75" s="7"/>
      <c r="L75" s="7"/>
    </row>
    <row r="76" spans="1:12">
      <c r="A76" s="7" t="s">
        <v>318</v>
      </c>
      <c r="B76" s="7">
        <v>80094633</v>
      </c>
      <c r="C76" s="7" t="s">
        <v>18</v>
      </c>
      <c r="D76" s="7" t="s">
        <v>113</v>
      </c>
      <c r="E76" s="7"/>
      <c r="F76" s="7"/>
      <c r="G76" s="7"/>
      <c r="H76" s="7"/>
      <c r="I76" s="7"/>
      <c r="J76" s="7"/>
      <c r="K76" s="7"/>
      <c r="L76" s="7"/>
    </row>
    <row r="77" spans="1:12">
      <c r="A77" s="7" t="s">
        <v>204</v>
      </c>
      <c r="B77" s="7">
        <v>80122894</v>
      </c>
      <c r="C77" s="7" t="s">
        <v>30</v>
      </c>
      <c r="D77" s="7" t="s">
        <v>28</v>
      </c>
      <c r="E77" s="7"/>
      <c r="F77" s="7"/>
      <c r="G77" s="7"/>
      <c r="H77" s="7"/>
      <c r="I77" s="7"/>
      <c r="J77" s="7"/>
      <c r="K77" s="7"/>
      <c r="L77" s="7"/>
    </row>
    <row r="78" spans="1:12">
      <c r="A78" s="7" t="s">
        <v>295</v>
      </c>
      <c r="B78" s="7">
        <v>80128523</v>
      </c>
      <c r="C78" s="7" t="s">
        <v>27</v>
      </c>
      <c r="D78" s="7" t="s">
        <v>28</v>
      </c>
      <c r="E78" s="7"/>
      <c r="F78" s="7"/>
      <c r="G78" s="7"/>
      <c r="H78" s="7"/>
      <c r="I78" s="7"/>
      <c r="J78" s="7"/>
      <c r="K78" s="7"/>
      <c r="L78" s="7"/>
    </row>
    <row r="79" spans="1:12">
      <c r="A79" s="7" t="s">
        <v>233</v>
      </c>
      <c r="B79" s="7">
        <v>80043153</v>
      </c>
      <c r="C79" s="7" t="s">
        <v>27</v>
      </c>
      <c r="D79" s="7" t="s">
        <v>28</v>
      </c>
      <c r="E79" s="7"/>
      <c r="F79" s="7"/>
      <c r="G79" s="7"/>
      <c r="H79" s="7"/>
      <c r="I79" s="7"/>
      <c r="J79" s="7"/>
      <c r="K79" s="7"/>
      <c r="L79" s="7"/>
    </row>
    <row r="80" spans="1:12">
      <c r="A80" s="7" t="s">
        <v>26</v>
      </c>
      <c r="B80" s="7">
        <v>80122917</v>
      </c>
      <c r="C80" s="7" t="s">
        <v>27</v>
      </c>
      <c r="D80" s="7" t="s">
        <v>28</v>
      </c>
      <c r="E80" s="7"/>
      <c r="F80" s="7"/>
      <c r="G80" s="7"/>
      <c r="H80" s="7"/>
      <c r="I80" s="7"/>
      <c r="J80" s="7"/>
      <c r="K80" s="7"/>
      <c r="L80" s="7"/>
    </row>
    <row r="81" spans="1:12">
      <c r="A81" s="7" t="s">
        <v>243</v>
      </c>
      <c r="B81" s="7">
        <v>80117823</v>
      </c>
      <c r="C81" s="7" t="s">
        <v>46</v>
      </c>
      <c r="D81" s="7" t="s">
        <v>63</v>
      </c>
      <c r="E81" s="7"/>
      <c r="F81" s="7"/>
      <c r="G81" s="7"/>
      <c r="H81" s="7"/>
      <c r="I81" s="7"/>
      <c r="J81" s="7"/>
      <c r="K81" s="7"/>
      <c r="L81" s="7"/>
    </row>
    <row r="82" spans="1:12">
      <c r="A82" s="7" t="s">
        <v>250</v>
      </c>
      <c r="B82" s="7">
        <v>80018056</v>
      </c>
      <c r="C82" s="7" t="s">
        <v>46</v>
      </c>
      <c r="D82" s="7" t="s">
        <v>63</v>
      </c>
      <c r="E82" s="7"/>
      <c r="F82" s="7"/>
      <c r="G82" s="7"/>
      <c r="H82" s="7"/>
      <c r="I82" s="7"/>
      <c r="J82" s="7"/>
      <c r="K82" s="7"/>
      <c r="L82" s="7"/>
    </row>
    <row r="83" spans="1:12">
      <c r="A83" s="7" t="s">
        <v>216</v>
      </c>
      <c r="B83" s="7">
        <v>80127413</v>
      </c>
      <c r="C83" s="7" t="s">
        <v>46</v>
      </c>
      <c r="D83" s="7" t="s">
        <v>63</v>
      </c>
      <c r="E83" s="7"/>
      <c r="F83" s="7"/>
      <c r="G83" s="7"/>
      <c r="H83" s="7"/>
      <c r="I83" s="7"/>
      <c r="J83" s="7"/>
      <c r="K83" s="7"/>
      <c r="L83" s="7"/>
    </row>
    <row r="84" spans="1:12">
      <c r="A84" s="7" t="s">
        <v>62</v>
      </c>
      <c r="B84" s="7">
        <v>80120424</v>
      </c>
      <c r="C84" s="7" t="s">
        <v>46</v>
      </c>
      <c r="D84" s="7" t="s">
        <v>63</v>
      </c>
      <c r="E84" s="7"/>
      <c r="F84" s="7"/>
      <c r="G84" s="7"/>
      <c r="H84" s="7"/>
      <c r="I84" s="7"/>
      <c r="J84" s="7"/>
      <c r="K84" s="7"/>
      <c r="L84" s="7"/>
    </row>
    <row r="85" spans="1:12">
      <c r="A85" s="7" t="s">
        <v>266</v>
      </c>
      <c r="B85" s="7">
        <v>80100025</v>
      </c>
      <c r="C85" s="7" t="s">
        <v>18</v>
      </c>
      <c r="D85" s="7" t="s">
        <v>143</v>
      </c>
      <c r="E85" s="7"/>
      <c r="F85" s="7"/>
      <c r="G85" s="7"/>
      <c r="H85" s="7"/>
      <c r="I85" s="7"/>
      <c r="J85" s="7"/>
      <c r="K85" s="7"/>
      <c r="L85" s="7"/>
    </row>
    <row r="86" spans="1:12">
      <c r="A86" s="7" t="s">
        <v>142</v>
      </c>
      <c r="B86" s="7">
        <v>80002160</v>
      </c>
      <c r="C86" s="7" t="s">
        <v>18</v>
      </c>
      <c r="D86" s="7" t="s">
        <v>143</v>
      </c>
      <c r="E86" s="7"/>
      <c r="F86" s="7"/>
      <c r="G86" s="7"/>
      <c r="H86" s="7"/>
      <c r="I86" s="7" t="s">
        <v>425</v>
      </c>
      <c r="J86" s="7"/>
      <c r="K86" s="7"/>
      <c r="L86" s="7" t="s">
        <v>180</v>
      </c>
    </row>
    <row r="87" spans="1:12">
      <c r="A87" s="7" t="s">
        <v>381</v>
      </c>
      <c r="B87" s="7">
        <v>80022889</v>
      </c>
      <c r="C87" s="7" t="s">
        <v>18</v>
      </c>
      <c r="D87" s="7" t="s">
        <v>143</v>
      </c>
      <c r="E87" s="7"/>
      <c r="F87" s="7" t="s">
        <v>180</v>
      </c>
      <c r="G87" s="7" t="s">
        <v>180</v>
      </c>
      <c r="H87" s="7"/>
      <c r="I87" s="7" t="s">
        <v>180</v>
      </c>
      <c r="J87" s="7"/>
      <c r="K87" s="7"/>
      <c r="L87" s="7"/>
    </row>
    <row r="88" spans="1:12">
      <c r="A88" s="7" t="s">
        <v>353</v>
      </c>
      <c r="B88" s="7">
        <v>80129771</v>
      </c>
      <c r="C88" s="7" t="s">
        <v>18</v>
      </c>
      <c r="D88" s="7" t="s">
        <v>143</v>
      </c>
      <c r="E88" s="7" t="s">
        <v>180</v>
      </c>
      <c r="F88" s="7" t="s">
        <v>180</v>
      </c>
      <c r="G88" s="7"/>
      <c r="H88" s="7" t="s">
        <v>425</v>
      </c>
      <c r="I88" s="7"/>
      <c r="J88" s="7"/>
      <c r="K88" s="7"/>
      <c r="L88" s="7"/>
    </row>
    <row r="89" spans="1:12">
      <c r="A89" s="7" t="s">
        <v>246</v>
      </c>
      <c r="B89" s="7">
        <v>80092475</v>
      </c>
      <c r="C89" s="7" t="s">
        <v>30</v>
      </c>
      <c r="D89" s="7" t="s">
        <v>101</v>
      </c>
      <c r="E89" s="7"/>
      <c r="F89" s="7"/>
      <c r="G89" s="7"/>
      <c r="H89" s="7"/>
      <c r="I89" s="7"/>
      <c r="J89" s="7"/>
      <c r="K89" s="7"/>
      <c r="L89" s="7"/>
    </row>
    <row r="90" spans="1:12">
      <c r="A90" s="7" t="s">
        <v>398</v>
      </c>
      <c r="B90" s="7">
        <v>80116436</v>
      </c>
      <c r="C90" s="7" t="s">
        <v>30</v>
      </c>
      <c r="D90" s="7" t="s">
        <v>101</v>
      </c>
      <c r="E90" s="7"/>
      <c r="F90" s="7"/>
      <c r="G90" s="7"/>
      <c r="H90" s="7"/>
      <c r="I90" s="7"/>
      <c r="J90" s="7"/>
      <c r="K90" s="7"/>
      <c r="L90" s="7"/>
    </row>
    <row r="91" spans="1:12">
      <c r="A91" s="7" t="s">
        <v>369</v>
      </c>
      <c r="B91" s="7">
        <v>80121233</v>
      </c>
      <c r="C91" s="7" t="s">
        <v>30</v>
      </c>
      <c r="D91" s="7" t="s">
        <v>101</v>
      </c>
      <c r="E91" s="7"/>
      <c r="F91" s="7"/>
      <c r="G91" s="7"/>
      <c r="H91" s="7"/>
      <c r="I91" s="7"/>
      <c r="J91" s="7"/>
      <c r="K91" s="7"/>
      <c r="L91" s="7"/>
    </row>
    <row r="92" spans="1:12">
      <c r="A92" s="7" t="s">
        <v>100</v>
      </c>
      <c r="B92" s="7">
        <v>80099733</v>
      </c>
      <c r="C92" s="7" t="s">
        <v>30</v>
      </c>
      <c r="D92" s="7" t="s">
        <v>101</v>
      </c>
      <c r="E92" s="7"/>
      <c r="F92" s="7"/>
      <c r="G92" s="7"/>
      <c r="H92" s="7"/>
      <c r="I92" s="7"/>
      <c r="J92" s="7"/>
      <c r="K92" s="7"/>
      <c r="L92" s="7"/>
    </row>
    <row r="93" spans="1:12">
      <c r="A93" s="7" t="s">
        <v>280</v>
      </c>
      <c r="B93" s="7">
        <v>80062544</v>
      </c>
      <c r="C93" s="7" t="s">
        <v>18</v>
      </c>
      <c r="D93" s="7" t="s">
        <v>44</v>
      </c>
      <c r="E93" s="7"/>
      <c r="F93" s="7"/>
      <c r="G93" s="7"/>
      <c r="H93" s="7"/>
      <c r="I93" s="7"/>
      <c r="J93" s="7"/>
      <c r="K93" s="7"/>
      <c r="L93" s="7"/>
    </row>
    <row r="94" spans="1:12">
      <c r="A94" s="7" t="s">
        <v>207</v>
      </c>
      <c r="B94" s="7">
        <v>80072701</v>
      </c>
      <c r="C94" s="7" t="s">
        <v>18</v>
      </c>
      <c r="D94" s="7" t="s">
        <v>44</v>
      </c>
      <c r="E94" s="7"/>
      <c r="F94" s="7"/>
      <c r="G94" s="7"/>
      <c r="H94" s="7"/>
      <c r="I94" s="7"/>
      <c r="J94" s="7"/>
      <c r="K94" s="7"/>
      <c r="L94" s="7"/>
    </row>
    <row r="95" spans="1:12">
      <c r="A95" s="7" t="s">
        <v>43</v>
      </c>
      <c r="B95" s="7">
        <v>80075967</v>
      </c>
      <c r="C95" s="7" t="s">
        <v>18</v>
      </c>
      <c r="D95" s="7" t="s">
        <v>44</v>
      </c>
      <c r="E95" s="7"/>
      <c r="F95" s="7"/>
      <c r="G95" s="7"/>
      <c r="H95" s="7"/>
      <c r="I95" s="7"/>
      <c r="J95" s="7"/>
      <c r="K95" s="7"/>
      <c r="L95" s="7"/>
    </row>
    <row r="96" spans="1:12">
      <c r="A96" s="7" t="s">
        <v>328</v>
      </c>
      <c r="B96" s="7">
        <v>80105987</v>
      </c>
      <c r="C96" s="7" t="s">
        <v>18</v>
      </c>
      <c r="D96" s="7" t="s">
        <v>44</v>
      </c>
      <c r="E96" s="7"/>
      <c r="F96" s="7"/>
      <c r="G96" s="7"/>
      <c r="H96" s="7"/>
      <c r="I96" s="7"/>
      <c r="J96" s="7"/>
      <c r="K96" s="7"/>
      <c r="L96" s="7"/>
    </row>
    <row r="97" spans="1:12">
      <c r="A97" s="7" t="s">
        <v>249</v>
      </c>
      <c r="B97" s="7">
        <v>80117778</v>
      </c>
      <c r="C97" s="7" t="s">
        <v>30</v>
      </c>
      <c r="D97" s="7" t="s">
        <v>37</v>
      </c>
      <c r="E97" s="7"/>
      <c r="F97" s="7"/>
      <c r="G97" s="7"/>
      <c r="H97" s="7"/>
      <c r="I97" s="7"/>
      <c r="J97" s="7"/>
      <c r="K97" s="7"/>
      <c r="L97" s="7"/>
    </row>
    <row r="98" spans="1:12">
      <c r="A98" s="7" t="s">
        <v>36</v>
      </c>
      <c r="B98" s="7">
        <v>80127811</v>
      </c>
      <c r="C98" s="7" t="s">
        <v>30</v>
      </c>
      <c r="D98" s="7" t="s">
        <v>37</v>
      </c>
      <c r="E98" s="7"/>
      <c r="F98" s="7"/>
      <c r="G98" s="7"/>
      <c r="H98" s="7"/>
      <c r="I98" s="7"/>
      <c r="J98" s="7"/>
      <c r="K98" s="7"/>
      <c r="L98" s="7"/>
    </row>
    <row r="99" spans="1:12">
      <c r="A99" s="7" t="s">
        <v>404</v>
      </c>
      <c r="B99" s="7">
        <v>80099800</v>
      </c>
      <c r="C99" s="7" t="s">
        <v>30</v>
      </c>
      <c r="D99" s="7" t="s">
        <v>37</v>
      </c>
      <c r="E99" s="7"/>
      <c r="F99" s="7"/>
      <c r="G99" s="7"/>
      <c r="H99" s="7"/>
      <c r="I99" s="7"/>
      <c r="J99" s="7"/>
      <c r="K99" s="7"/>
      <c r="L99" s="7"/>
    </row>
    <row r="100" spans="1:12">
      <c r="A100" s="7" t="s">
        <v>197</v>
      </c>
      <c r="B100" s="7">
        <v>80122833</v>
      </c>
      <c r="C100" s="7" t="s">
        <v>30</v>
      </c>
      <c r="D100" s="7" t="s">
        <v>37</v>
      </c>
      <c r="E100" s="7"/>
      <c r="F100" s="7"/>
      <c r="G100" s="7"/>
      <c r="H100" s="7"/>
      <c r="I100" s="7"/>
      <c r="J100" s="7" t="s">
        <v>428</v>
      </c>
      <c r="K100" s="7"/>
      <c r="L100" s="7"/>
    </row>
    <row r="101" spans="1:12">
      <c r="A101" s="7" t="s">
        <v>242</v>
      </c>
      <c r="B101" s="7">
        <v>80026468</v>
      </c>
      <c r="C101" s="7" t="s">
        <v>46</v>
      </c>
      <c r="D101" s="7" t="s">
        <v>55</v>
      </c>
      <c r="E101" s="7"/>
      <c r="F101" s="7"/>
      <c r="G101" s="7"/>
      <c r="H101" s="7"/>
      <c r="I101" s="7"/>
      <c r="J101" s="7"/>
      <c r="K101" s="7"/>
      <c r="L101" s="7"/>
    </row>
    <row r="102" spans="1:12">
      <c r="A102" s="7" t="s">
        <v>248</v>
      </c>
      <c r="B102" s="7">
        <v>80067231</v>
      </c>
      <c r="C102" s="7" t="s">
        <v>46</v>
      </c>
      <c r="D102" s="7" t="s">
        <v>55</v>
      </c>
      <c r="E102" s="7"/>
      <c r="F102" s="7"/>
      <c r="G102" s="7"/>
      <c r="H102" s="7"/>
      <c r="I102" s="7"/>
      <c r="J102" s="7"/>
      <c r="K102" s="7"/>
      <c r="L102" s="7"/>
    </row>
    <row r="103" spans="1:12">
      <c r="A103" s="7" t="s">
        <v>54</v>
      </c>
      <c r="B103" s="7">
        <v>80128587</v>
      </c>
      <c r="C103" s="7" t="s">
        <v>46</v>
      </c>
      <c r="D103" s="7" t="s">
        <v>55</v>
      </c>
      <c r="E103" s="7"/>
      <c r="F103" s="7"/>
      <c r="G103" s="7"/>
      <c r="H103" s="7"/>
      <c r="I103" s="7"/>
      <c r="J103" s="7"/>
      <c r="K103" s="7"/>
      <c r="L103" s="7"/>
    </row>
    <row r="104" spans="1:12">
      <c r="A104" s="7" t="s">
        <v>364</v>
      </c>
      <c r="B104" s="7">
        <v>80081583</v>
      </c>
      <c r="C104" s="7" t="s">
        <v>46</v>
      </c>
      <c r="D104" s="7" t="s">
        <v>55</v>
      </c>
      <c r="E104" s="7"/>
      <c r="F104" s="7"/>
      <c r="G104" s="7"/>
      <c r="H104" s="7"/>
      <c r="I104" s="7"/>
      <c r="J104" s="7"/>
      <c r="K104" s="7"/>
      <c r="L104" s="7"/>
    </row>
    <row r="105" spans="1:12">
      <c r="A105" s="7" t="s">
        <v>265</v>
      </c>
      <c r="B105" s="7">
        <v>80114169</v>
      </c>
      <c r="C105" s="7" t="s">
        <v>30</v>
      </c>
      <c r="D105" s="7" t="s">
        <v>57</v>
      </c>
      <c r="E105" s="7"/>
      <c r="F105" s="7"/>
      <c r="G105" s="7"/>
      <c r="H105" s="7"/>
      <c r="I105" s="7"/>
      <c r="J105" s="7"/>
      <c r="K105" s="7"/>
      <c r="L105" s="7"/>
    </row>
    <row r="106" spans="1:12">
      <c r="A106" s="7" t="s">
        <v>56</v>
      </c>
      <c r="B106" s="7">
        <v>80116435</v>
      </c>
      <c r="C106" s="7" t="s">
        <v>30</v>
      </c>
      <c r="D106" s="7" t="s">
        <v>57</v>
      </c>
      <c r="E106" s="7"/>
      <c r="F106" s="7"/>
      <c r="G106" s="7"/>
      <c r="H106" s="7"/>
      <c r="I106" s="7"/>
      <c r="J106" s="7"/>
      <c r="K106" s="7"/>
      <c r="L106" s="7"/>
    </row>
    <row r="107" spans="1:12">
      <c r="A107" s="7" t="s">
        <v>368</v>
      </c>
      <c r="B107" s="7">
        <v>80128868</v>
      </c>
      <c r="C107" s="7" t="s">
        <v>30</v>
      </c>
      <c r="D107" s="7" t="s">
        <v>57</v>
      </c>
      <c r="E107" s="7"/>
      <c r="F107" s="7"/>
      <c r="G107" s="7"/>
      <c r="H107" s="7" t="s">
        <v>425</v>
      </c>
      <c r="I107" s="7"/>
      <c r="J107" s="7"/>
      <c r="K107" s="7"/>
      <c r="L107" s="7"/>
    </row>
    <row r="108" spans="1:12">
      <c r="A108" s="7" t="s">
        <v>424</v>
      </c>
      <c r="B108" s="7">
        <v>80128954</v>
      </c>
      <c r="C108" s="7"/>
      <c r="D108" s="7"/>
      <c r="E108" s="7" t="s">
        <v>180</v>
      </c>
      <c r="F108" s="7" t="s">
        <v>180</v>
      </c>
      <c r="G108" s="7"/>
      <c r="H108" s="7" t="s">
        <v>180</v>
      </c>
      <c r="I108" s="7" t="s">
        <v>180</v>
      </c>
      <c r="J108" s="7"/>
      <c r="K108" s="7"/>
      <c r="L108" s="7"/>
    </row>
    <row r="109" spans="1:12">
      <c r="A109" s="7" t="s">
        <v>206</v>
      </c>
      <c r="B109" s="7">
        <v>80128315</v>
      </c>
      <c r="C109" s="7" t="s">
        <v>27</v>
      </c>
      <c r="D109" s="7" t="s">
        <v>79</v>
      </c>
      <c r="E109" s="7"/>
      <c r="F109" s="7"/>
      <c r="G109" s="7"/>
      <c r="H109" s="7"/>
      <c r="I109" s="7"/>
      <c r="J109" s="7"/>
      <c r="K109" s="7"/>
      <c r="L109" s="7"/>
    </row>
    <row r="110" spans="1:12">
      <c r="A110" s="7" t="s">
        <v>236</v>
      </c>
      <c r="B110" s="7">
        <v>80122914</v>
      </c>
      <c r="C110" s="7" t="s">
        <v>27</v>
      </c>
      <c r="D110" s="7" t="s">
        <v>79</v>
      </c>
      <c r="E110" s="7"/>
      <c r="F110" s="7"/>
      <c r="G110" s="7"/>
      <c r="H110" s="7"/>
      <c r="I110" s="7"/>
      <c r="J110" s="7"/>
      <c r="K110" s="7"/>
      <c r="L110" s="7"/>
    </row>
    <row r="111" spans="1:12">
      <c r="A111" s="7" t="s">
        <v>226</v>
      </c>
      <c r="B111" s="7">
        <v>80031519</v>
      </c>
      <c r="C111" s="7" t="s">
        <v>27</v>
      </c>
      <c r="D111" s="7" t="s">
        <v>79</v>
      </c>
      <c r="E111" s="7"/>
      <c r="F111" s="7"/>
      <c r="G111" s="7"/>
      <c r="H111" s="7"/>
      <c r="I111" s="7"/>
      <c r="J111" s="7"/>
      <c r="K111" s="7"/>
      <c r="L111" s="7"/>
    </row>
    <row r="112" spans="1:12">
      <c r="A112" s="7" t="s">
        <v>78</v>
      </c>
      <c r="B112" s="7">
        <v>80104063</v>
      </c>
      <c r="C112" s="7" t="s">
        <v>27</v>
      </c>
      <c r="D112" s="7" t="s">
        <v>79</v>
      </c>
      <c r="E112" s="7"/>
      <c r="F112" s="7"/>
      <c r="G112" s="7"/>
      <c r="H112" s="7"/>
      <c r="I112" s="7"/>
      <c r="J112" s="7"/>
      <c r="K112" s="7"/>
      <c r="L112" s="7"/>
    </row>
    <row r="113" spans="1:12">
      <c r="A113" s="7" t="s">
        <v>276</v>
      </c>
      <c r="B113" s="7">
        <v>80099977</v>
      </c>
      <c r="C113" s="7" t="s">
        <v>46</v>
      </c>
      <c r="D113" s="7" t="s">
        <v>49</v>
      </c>
      <c r="E113" s="7" t="s">
        <v>180</v>
      </c>
      <c r="F113" s="7" t="s">
        <v>180</v>
      </c>
      <c r="G113" s="7"/>
      <c r="H113" s="7"/>
      <c r="I113" s="7"/>
      <c r="J113" s="7"/>
      <c r="K113" s="7"/>
      <c r="L113" s="7"/>
    </row>
    <row r="114" spans="1:12">
      <c r="A114" s="7" t="s">
        <v>282</v>
      </c>
      <c r="B114" s="7">
        <v>80122546</v>
      </c>
      <c r="C114" s="7" t="s">
        <v>46</v>
      </c>
      <c r="D114" s="7" t="s">
        <v>49</v>
      </c>
      <c r="E114" s="7"/>
      <c r="F114" s="7"/>
      <c r="G114" s="7"/>
      <c r="H114" s="7"/>
      <c r="I114" s="7"/>
      <c r="J114" s="7"/>
      <c r="K114" s="7"/>
      <c r="L114" s="7"/>
    </row>
    <row r="115" spans="1:12">
      <c r="A115" s="7" t="s">
        <v>48</v>
      </c>
      <c r="B115" s="7">
        <v>80065984</v>
      </c>
      <c r="C115" s="7" t="s">
        <v>46</v>
      </c>
      <c r="D115" s="7" t="s">
        <v>49</v>
      </c>
      <c r="E115" s="7"/>
      <c r="F115" s="7"/>
      <c r="G115" s="7"/>
      <c r="H115" s="7"/>
      <c r="I115" s="7"/>
      <c r="J115" s="7"/>
      <c r="K115" s="7"/>
      <c r="L115" s="7"/>
    </row>
    <row r="116" spans="1:12">
      <c r="A116" s="7" t="s">
        <v>377</v>
      </c>
      <c r="B116" s="7">
        <v>80113287</v>
      </c>
      <c r="C116" s="7" t="s">
        <v>46</v>
      </c>
      <c r="D116" s="7" t="s">
        <v>49</v>
      </c>
      <c r="E116" s="7"/>
      <c r="F116" s="7"/>
      <c r="G116" s="7"/>
      <c r="H116" s="7"/>
      <c r="I116" s="7"/>
      <c r="J116" s="7"/>
      <c r="K116" s="7"/>
      <c r="L116" s="7"/>
    </row>
    <row r="117" spans="1:12">
      <c r="A117" s="7" t="s">
        <v>300</v>
      </c>
      <c r="B117" s="7">
        <v>80093219</v>
      </c>
      <c r="C117" s="7" t="s">
        <v>18</v>
      </c>
      <c r="D117" s="7" t="s">
        <v>95</v>
      </c>
      <c r="E117" s="7" t="s">
        <v>180</v>
      </c>
      <c r="F117" s="7"/>
      <c r="G117" s="7"/>
      <c r="H117" s="7"/>
      <c r="I117" s="7" t="s">
        <v>180</v>
      </c>
      <c r="J117" s="7"/>
      <c r="K117" s="7"/>
      <c r="L117" s="7"/>
    </row>
    <row r="118" spans="1:12">
      <c r="A118" s="7" t="s">
        <v>94</v>
      </c>
      <c r="B118" s="7">
        <v>80126088</v>
      </c>
      <c r="C118" s="7" t="s">
        <v>18</v>
      </c>
      <c r="D118" s="7" t="s">
        <v>95</v>
      </c>
      <c r="E118" s="7"/>
      <c r="F118" s="7" t="s">
        <v>180</v>
      </c>
      <c r="G118" s="7"/>
      <c r="H118" s="7"/>
      <c r="I118" s="7"/>
      <c r="J118" s="7"/>
      <c r="K118" s="7"/>
      <c r="L118" s="7"/>
    </row>
    <row r="119" spans="1:12">
      <c r="A119" s="7" t="s">
        <v>224</v>
      </c>
      <c r="B119" s="7">
        <v>80102556</v>
      </c>
      <c r="C119" s="7" t="s">
        <v>225</v>
      </c>
      <c r="D119" s="7" t="s">
        <v>95</v>
      </c>
      <c r="E119" s="7"/>
      <c r="F119" s="7"/>
      <c r="G119" s="7"/>
      <c r="H119" s="7" t="s">
        <v>180</v>
      </c>
      <c r="I119" s="7"/>
      <c r="J119" s="7" t="s">
        <v>428</v>
      </c>
      <c r="K119" s="7" t="s">
        <v>428</v>
      </c>
      <c r="L119" s="7" t="s">
        <v>180</v>
      </c>
    </row>
    <row r="120" spans="1:12">
      <c r="A120" s="7" t="s">
        <v>134</v>
      </c>
      <c r="B120" s="7">
        <v>80103935</v>
      </c>
      <c r="C120" s="7" t="s">
        <v>30</v>
      </c>
      <c r="D120" s="7" t="s">
        <v>135</v>
      </c>
      <c r="E120" s="7"/>
      <c r="F120" s="7"/>
      <c r="G120" s="7"/>
      <c r="H120" s="7"/>
      <c r="I120" s="7"/>
      <c r="J120" s="7"/>
      <c r="K120" s="7"/>
      <c r="L120" s="7"/>
    </row>
    <row r="121" spans="1:12">
      <c r="A121" s="7" t="s">
        <v>409</v>
      </c>
      <c r="B121" s="7">
        <v>80074498</v>
      </c>
      <c r="C121" s="7" t="s">
        <v>30</v>
      </c>
      <c r="D121" s="7" t="s">
        <v>135</v>
      </c>
      <c r="E121" s="7" t="s">
        <v>180</v>
      </c>
      <c r="F121" s="7" t="s">
        <v>180</v>
      </c>
      <c r="G121" s="7"/>
      <c r="H121" s="7"/>
      <c r="I121" s="7"/>
      <c r="J121" s="7"/>
      <c r="K121" s="7"/>
      <c r="L121" s="7"/>
    </row>
    <row r="122" spans="1:12">
      <c r="A122" s="7" t="s">
        <v>322</v>
      </c>
      <c r="B122" s="7">
        <v>80114039</v>
      </c>
      <c r="C122" s="7" t="s">
        <v>30</v>
      </c>
      <c r="D122" s="7" t="s">
        <v>135</v>
      </c>
      <c r="E122" s="7"/>
      <c r="F122" s="7"/>
      <c r="G122" s="7"/>
      <c r="H122" s="7"/>
      <c r="I122" s="7"/>
      <c r="J122" s="7"/>
      <c r="K122" s="7"/>
      <c r="L122" s="7"/>
    </row>
    <row r="123" spans="1:12">
      <c r="A123" s="7" t="s">
        <v>256</v>
      </c>
      <c r="B123" s="7">
        <v>80117873</v>
      </c>
      <c r="C123" s="7" t="s">
        <v>30</v>
      </c>
      <c r="D123" s="7" t="s">
        <v>135</v>
      </c>
      <c r="E123" s="7"/>
      <c r="F123" s="7"/>
      <c r="G123" s="7"/>
      <c r="H123" s="7"/>
      <c r="I123" s="7"/>
      <c r="J123" s="7"/>
      <c r="K123" s="7"/>
      <c r="L123" s="7"/>
    </row>
    <row r="124" spans="1:12">
      <c r="A124" s="7" t="s">
        <v>346</v>
      </c>
      <c r="B124" s="7">
        <v>80115624</v>
      </c>
      <c r="C124" s="7" t="s">
        <v>27</v>
      </c>
      <c r="D124" s="7" t="s">
        <v>167</v>
      </c>
      <c r="E124" s="7"/>
      <c r="F124" s="7"/>
      <c r="G124" s="7"/>
      <c r="H124" s="7"/>
      <c r="I124" s="7"/>
      <c r="J124" s="7"/>
      <c r="K124" s="7"/>
      <c r="L124" s="7"/>
    </row>
    <row r="125" spans="1:12">
      <c r="A125" s="7" t="s">
        <v>347</v>
      </c>
      <c r="B125" s="7">
        <v>80071245</v>
      </c>
      <c r="C125" s="7" t="s">
        <v>27</v>
      </c>
      <c r="D125" s="7" t="s">
        <v>167</v>
      </c>
      <c r="E125" s="7"/>
      <c r="F125" s="7"/>
      <c r="G125" s="7"/>
      <c r="H125" s="7"/>
      <c r="I125" s="7"/>
      <c r="J125" s="7"/>
      <c r="K125" s="7"/>
      <c r="L125" s="7"/>
    </row>
    <row r="126" spans="1:12">
      <c r="A126" s="7" t="s">
        <v>339</v>
      </c>
      <c r="B126" s="7">
        <v>80125326</v>
      </c>
      <c r="C126" s="7" t="s">
        <v>27</v>
      </c>
      <c r="D126" s="7" t="s">
        <v>167</v>
      </c>
      <c r="E126" s="7"/>
      <c r="F126" s="7"/>
      <c r="G126" s="7"/>
      <c r="H126" s="7"/>
      <c r="I126" s="7"/>
      <c r="J126" s="7"/>
      <c r="K126" s="7"/>
      <c r="L126" s="7"/>
    </row>
    <row r="127" spans="1:12">
      <c r="A127" s="7" t="s">
        <v>166</v>
      </c>
      <c r="B127" s="7">
        <v>80128435</v>
      </c>
      <c r="C127" s="7" t="s">
        <v>27</v>
      </c>
      <c r="D127" s="7" t="s">
        <v>167</v>
      </c>
      <c r="E127" s="7"/>
      <c r="F127" s="7"/>
      <c r="G127" s="7"/>
      <c r="H127" s="7"/>
      <c r="I127" s="7"/>
      <c r="J127" s="7"/>
      <c r="K127" s="7"/>
      <c r="L127" s="7"/>
    </row>
    <row r="128" spans="1:12">
      <c r="A128" s="7" t="s">
        <v>371</v>
      </c>
      <c r="B128" s="7">
        <v>80124488</v>
      </c>
      <c r="C128" s="7" t="s">
        <v>46</v>
      </c>
      <c r="D128" s="7" t="s">
        <v>151</v>
      </c>
      <c r="E128" s="7"/>
      <c r="F128" s="7"/>
      <c r="G128" s="7"/>
      <c r="H128" s="7"/>
      <c r="I128" s="7"/>
      <c r="J128" s="7"/>
      <c r="K128" s="7"/>
      <c r="L128" s="7"/>
    </row>
    <row r="129" spans="1:12">
      <c r="A129" s="7" t="s">
        <v>345</v>
      </c>
      <c r="B129" s="7">
        <v>80079313</v>
      </c>
      <c r="C129" s="7" t="s">
        <v>46</v>
      </c>
      <c r="D129" s="7" t="s">
        <v>151</v>
      </c>
      <c r="E129" s="7"/>
      <c r="F129" s="7"/>
      <c r="G129" s="7"/>
      <c r="H129" s="7"/>
      <c r="I129" s="7"/>
      <c r="J129" s="7"/>
      <c r="K129" s="7"/>
      <c r="L129" s="7"/>
    </row>
    <row r="130" spans="1:12">
      <c r="A130" s="7" t="s">
        <v>317</v>
      </c>
      <c r="B130" s="7">
        <v>80127801</v>
      </c>
      <c r="C130" s="7" t="s">
        <v>46</v>
      </c>
      <c r="D130" s="7" t="s">
        <v>151</v>
      </c>
      <c r="E130" s="7"/>
      <c r="F130" s="7"/>
      <c r="G130" s="7"/>
      <c r="H130" s="7"/>
      <c r="I130" s="7"/>
      <c r="J130" s="7"/>
      <c r="K130" s="7"/>
      <c r="L130" s="7"/>
    </row>
    <row r="131" spans="1:12">
      <c r="A131" s="7" t="s">
        <v>150</v>
      </c>
      <c r="B131" s="7">
        <v>80118850</v>
      </c>
      <c r="C131" s="7" t="s">
        <v>46</v>
      </c>
      <c r="D131" s="7" t="s">
        <v>151</v>
      </c>
      <c r="E131" s="7"/>
      <c r="F131" s="7"/>
      <c r="G131" s="7" t="s">
        <v>180</v>
      </c>
      <c r="H131" s="7"/>
      <c r="I131" s="7"/>
      <c r="J131" s="7"/>
      <c r="K131" s="7"/>
      <c r="L131" s="7"/>
    </row>
    <row r="132" spans="1:12">
      <c r="A132" s="7" t="s">
        <v>262</v>
      </c>
      <c r="B132" s="7">
        <v>80065435</v>
      </c>
      <c r="C132" s="7" t="s">
        <v>18</v>
      </c>
      <c r="D132" s="7" t="s">
        <v>75</v>
      </c>
      <c r="E132" s="7"/>
      <c r="F132" s="7"/>
      <c r="G132" s="7"/>
      <c r="H132" s="7"/>
      <c r="I132" s="7"/>
      <c r="J132" s="7"/>
      <c r="K132" s="7"/>
      <c r="L132" s="7"/>
    </row>
    <row r="133" spans="1:12">
      <c r="A133" s="7" t="s">
        <v>215</v>
      </c>
      <c r="B133" s="7">
        <v>80063020</v>
      </c>
      <c r="C133" s="7" t="s">
        <v>18</v>
      </c>
      <c r="D133" s="7" t="s">
        <v>75</v>
      </c>
      <c r="E133" s="7"/>
      <c r="F133" s="7"/>
      <c r="G133" s="7"/>
      <c r="H133" s="7"/>
      <c r="I133" s="7"/>
      <c r="J133" s="7"/>
      <c r="K133" s="7"/>
      <c r="L133" s="7"/>
    </row>
    <row r="134" spans="1:12">
      <c r="A134" s="7" t="s">
        <v>74</v>
      </c>
      <c r="B134" s="7">
        <v>80000075</v>
      </c>
      <c r="C134" s="7" t="s">
        <v>18</v>
      </c>
      <c r="D134" s="7" t="s">
        <v>75</v>
      </c>
      <c r="E134" s="7"/>
      <c r="F134" s="7"/>
      <c r="G134" s="7"/>
      <c r="H134" s="7"/>
      <c r="I134" s="7"/>
      <c r="J134" s="7"/>
      <c r="K134" s="7"/>
      <c r="L134" s="7"/>
    </row>
    <row r="135" spans="1:12">
      <c r="A135" s="7" t="s">
        <v>311</v>
      </c>
      <c r="B135" s="7">
        <v>80128920</v>
      </c>
      <c r="C135" s="7" t="s">
        <v>18</v>
      </c>
      <c r="D135" s="7" t="s">
        <v>75</v>
      </c>
      <c r="E135" s="7"/>
      <c r="F135" s="7"/>
      <c r="G135" s="7"/>
      <c r="H135" s="7"/>
      <c r="I135" s="7"/>
      <c r="J135" s="7"/>
      <c r="K135" s="7"/>
      <c r="L135" s="7"/>
    </row>
    <row r="136" spans="1:12">
      <c r="A136" s="7" t="s">
        <v>294</v>
      </c>
      <c r="B136" s="7">
        <v>80097459</v>
      </c>
      <c r="C136" s="7" t="s">
        <v>41</v>
      </c>
      <c r="D136" s="7" t="s">
        <v>141</v>
      </c>
      <c r="E136" s="7"/>
      <c r="F136" s="7"/>
      <c r="G136" s="7"/>
      <c r="H136" s="7"/>
      <c r="I136" s="7"/>
      <c r="J136" s="7" t="s">
        <v>428</v>
      </c>
      <c r="K136" s="7" t="s">
        <v>179</v>
      </c>
      <c r="L136" s="7"/>
    </row>
    <row r="137" spans="1:12">
      <c r="A137" s="7" t="s">
        <v>271</v>
      </c>
      <c r="B137" s="7">
        <v>80093526</v>
      </c>
      <c r="C137" s="7" t="s">
        <v>41</v>
      </c>
      <c r="D137" s="7" t="s">
        <v>141</v>
      </c>
      <c r="E137" s="7" t="s">
        <v>180</v>
      </c>
      <c r="F137" s="7" t="s">
        <v>180</v>
      </c>
      <c r="G137" s="7" t="s">
        <v>180</v>
      </c>
      <c r="H137" s="7"/>
      <c r="I137" s="7"/>
      <c r="J137" s="7"/>
      <c r="K137" s="7"/>
      <c r="L137" s="7"/>
    </row>
    <row r="138" spans="1:12">
      <c r="A138" s="7" t="s">
        <v>140</v>
      </c>
      <c r="B138" s="7">
        <v>80125739</v>
      </c>
      <c r="C138" s="7" t="s">
        <v>41</v>
      </c>
      <c r="D138" s="7" t="s">
        <v>141</v>
      </c>
      <c r="E138" s="7"/>
      <c r="F138" s="7"/>
      <c r="G138" s="7"/>
      <c r="H138" s="7" t="s">
        <v>180</v>
      </c>
      <c r="I138" s="7"/>
      <c r="J138" s="7"/>
      <c r="K138" s="7"/>
      <c r="L138" s="7"/>
    </row>
    <row r="139" spans="1:12">
      <c r="A139" s="7" t="s">
        <v>252</v>
      </c>
      <c r="B139" s="7">
        <v>80127771</v>
      </c>
      <c r="C139" s="7" t="s">
        <v>41</v>
      </c>
      <c r="D139" s="7" t="s">
        <v>141</v>
      </c>
      <c r="E139" s="7"/>
      <c r="F139" s="7"/>
      <c r="G139" s="7"/>
      <c r="H139" s="7"/>
      <c r="I139" s="7" t="s">
        <v>180</v>
      </c>
      <c r="J139" s="7"/>
      <c r="K139" s="7"/>
      <c r="L139" s="7" t="s">
        <v>429</v>
      </c>
    </row>
    <row r="140" spans="1:12">
      <c r="A140" s="7" t="s">
        <v>415</v>
      </c>
      <c r="B140" s="7">
        <v>80118957</v>
      </c>
      <c r="C140" s="7" t="s">
        <v>30</v>
      </c>
      <c r="D140" s="7" t="s">
        <v>85</v>
      </c>
      <c r="E140" s="7"/>
      <c r="F140" s="7"/>
      <c r="G140" s="7"/>
      <c r="H140" s="7"/>
      <c r="I140" s="7"/>
      <c r="J140" s="7"/>
      <c r="K140" s="7"/>
      <c r="L140" s="7"/>
    </row>
    <row r="141" spans="1:12">
      <c r="A141" s="7" t="s">
        <v>289</v>
      </c>
      <c r="B141" s="7">
        <v>80121825</v>
      </c>
      <c r="C141" s="7" t="s">
        <v>30</v>
      </c>
      <c r="D141" s="7" t="s">
        <v>85</v>
      </c>
      <c r="E141" s="7"/>
      <c r="F141" s="7"/>
      <c r="G141" s="7"/>
      <c r="H141" s="7"/>
      <c r="I141" s="7"/>
      <c r="J141" s="7"/>
      <c r="K141" s="7"/>
      <c r="L141" s="7"/>
    </row>
    <row r="142" spans="1:12">
      <c r="A142" s="7" t="s">
        <v>84</v>
      </c>
      <c r="B142" s="7">
        <v>80107716</v>
      </c>
      <c r="C142" s="7" t="s">
        <v>30</v>
      </c>
      <c r="D142" s="7" t="s">
        <v>85</v>
      </c>
      <c r="E142" s="7"/>
      <c r="F142" s="7"/>
      <c r="G142" s="7"/>
      <c r="H142" s="7"/>
      <c r="I142" s="7"/>
      <c r="J142" s="7"/>
      <c r="K142" s="7"/>
      <c r="L142" s="7"/>
    </row>
    <row r="143" spans="1:12">
      <c r="A143" s="7" t="s">
        <v>274</v>
      </c>
      <c r="B143" s="7">
        <v>80125327</v>
      </c>
      <c r="C143" s="7" t="s">
        <v>27</v>
      </c>
      <c r="D143" s="7" t="s">
        <v>33</v>
      </c>
      <c r="E143" s="7"/>
      <c r="F143" s="7"/>
      <c r="G143" s="7"/>
      <c r="H143" s="7"/>
      <c r="I143" s="7"/>
      <c r="J143" s="7"/>
      <c r="K143" s="7"/>
      <c r="L143" s="7"/>
    </row>
    <row r="144" spans="1:12">
      <c r="A144" s="7" t="s">
        <v>247</v>
      </c>
      <c r="B144" s="7">
        <v>80094143</v>
      </c>
      <c r="C144" s="7" t="s">
        <v>27</v>
      </c>
      <c r="D144" s="7" t="s">
        <v>33</v>
      </c>
      <c r="E144" s="7"/>
      <c r="F144" s="7"/>
      <c r="G144" s="7"/>
      <c r="H144" s="7"/>
      <c r="I144" s="7"/>
      <c r="J144" s="7"/>
      <c r="K144" s="7"/>
      <c r="L144" s="7"/>
    </row>
    <row r="145" spans="1:12">
      <c r="A145" s="7" t="s">
        <v>218</v>
      </c>
      <c r="B145" s="7">
        <v>80106007</v>
      </c>
      <c r="C145" s="7" t="s">
        <v>27</v>
      </c>
      <c r="D145" s="7" t="s">
        <v>33</v>
      </c>
      <c r="E145" s="7"/>
      <c r="F145" s="7"/>
      <c r="G145" s="7"/>
      <c r="H145" s="7"/>
      <c r="I145" s="7"/>
      <c r="J145" s="7"/>
      <c r="K145" s="7"/>
      <c r="L145" s="7"/>
    </row>
    <row r="146" spans="1:12">
      <c r="A146" s="7" t="s">
        <v>32</v>
      </c>
      <c r="B146" s="7">
        <v>80123006</v>
      </c>
      <c r="C146" s="7" t="s">
        <v>27</v>
      </c>
      <c r="D146" s="7" t="s">
        <v>33</v>
      </c>
      <c r="E146" s="7"/>
      <c r="F146" s="7"/>
      <c r="G146" s="7"/>
      <c r="H146" s="7"/>
      <c r="I146" s="7"/>
      <c r="J146" s="7"/>
      <c r="K146" s="7"/>
      <c r="L146" s="7"/>
    </row>
    <row r="147" spans="1:12">
      <c r="A147" s="7" t="s">
        <v>82</v>
      </c>
      <c r="B147" s="7">
        <v>80129738</v>
      </c>
      <c r="C147" s="7" t="s">
        <v>46</v>
      </c>
      <c r="D147" s="7" t="s">
        <v>83</v>
      </c>
      <c r="E147" s="7"/>
      <c r="F147" s="7"/>
      <c r="G147" s="7"/>
      <c r="H147" s="7"/>
      <c r="I147" s="7"/>
      <c r="J147" s="7"/>
      <c r="K147" s="7"/>
      <c r="L147" s="7"/>
    </row>
    <row r="148" spans="1:12">
      <c r="A148" s="7" t="s">
        <v>417</v>
      </c>
      <c r="B148" s="7">
        <v>80129019</v>
      </c>
      <c r="C148" s="7" t="s">
        <v>46</v>
      </c>
      <c r="D148" s="7" t="s">
        <v>83</v>
      </c>
      <c r="E148" s="7" t="s">
        <v>180</v>
      </c>
      <c r="F148" s="7" t="s">
        <v>180</v>
      </c>
      <c r="G148" s="7"/>
      <c r="H148" s="7" t="s">
        <v>180</v>
      </c>
      <c r="I148" s="7" t="s">
        <v>180</v>
      </c>
      <c r="J148" s="7" t="s">
        <v>428</v>
      </c>
      <c r="K148" s="7" t="s">
        <v>428</v>
      </c>
      <c r="L148" s="7"/>
    </row>
    <row r="149" spans="1:12">
      <c r="A149" s="7" t="s">
        <v>198</v>
      </c>
      <c r="B149" s="7">
        <v>80127931</v>
      </c>
      <c r="C149" s="7" t="s">
        <v>46</v>
      </c>
      <c r="D149" s="7" t="s">
        <v>83</v>
      </c>
      <c r="E149" s="7"/>
      <c r="F149" s="7"/>
      <c r="G149" s="7"/>
      <c r="H149" s="7"/>
      <c r="I149" s="7"/>
      <c r="J149" s="7"/>
      <c r="K149" s="7"/>
      <c r="L149" s="7"/>
    </row>
    <row r="150" spans="1:12">
      <c r="A150" s="7" t="s">
        <v>200</v>
      </c>
      <c r="B150" s="7">
        <v>80114106</v>
      </c>
      <c r="C150" s="7" t="s">
        <v>46</v>
      </c>
      <c r="D150" s="7" t="s">
        <v>83</v>
      </c>
      <c r="E150" s="7"/>
      <c r="F150" s="7"/>
      <c r="G150" s="7"/>
      <c r="H150" s="7"/>
      <c r="I150" s="7"/>
      <c r="J150" s="7"/>
      <c r="K150" s="7"/>
      <c r="L150" s="7"/>
    </row>
    <row r="151" spans="1:12">
      <c r="A151" s="7" t="s">
        <v>190</v>
      </c>
      <c r="B151" s="7">
        <v>80128294</v>
      </c>
      <c r="C151" s="7" t="s">
        <v>18</v>
      </c>
      <c r="D151" s="7" t="s">
        <v>21</v>
      </c>
      <c r="E151" s="7"/>
      <c r="F151" s="7"/>
      <c r="G151" s="7" t="s">
        <v>180</v>
      </c>
      <c r="H151" s="7" t="s">
        <v>425</v>
      </c>
      <c r="I151" s="7"/>
      <c r="J151" s="7"/>
      <c r="K151" s="7"/>
      <c r="L151" s="7"/>
    </row>
    <row r="152" spans="1:12">
      <c r="A152" s="7" t="s">
        <v>188</v>
      </c>
      <c r="B152" s="7">
        <v>80093079</v>
      </c>
      <c r="C152" s="7" t="s">
        <v>18</v>
      </c>
      <c r="D152" s="7" t="s">
        <v>21</v>
      </c>
      <c r="E152" s="7"/>
      <c r="F152" s="7"/>
      <c r="G152" s="7"/>
      <c r="H152" s="7"/>
      <c r="I152" s="7"/>
      <c r="J152" s="7"/>
      <c r="K152" s="7"/>
      <c r="L152" s="7"/>
    </row>
    <row r="153" spans="1:12">
      <c r="A153" s="7" t="s">
        <v>20</v>
      </c>
      <c r="B153" s="7">
        <v>80127574</v>
      </c>
      <c r="C153" s="7" t="s">
        <v>18</v>
      </c>
      <c r="D153" s="7" t="s">
        <v>21</v>
      </c>
      <c r="E153" s="7"/>
      <c r="F153" s="7"/>
      <c r="G153" s="7" t="s">
        <v>425</v>
      </c>
      <c r="H153" s="7" t="s">
        <v>180</v>
      </c>
      <c r="I153" s="7" t="s">
        <v>180</v>
      </c>
      <c r="J153" s="7"/>
      <c r="K153" s="7"/>
      <c r="L153" s="7"/>
    </row>
    <row r="154" spans="1:12">
      <c r="A154" s="7" t="s">
        <v>293</v>
      </c>
      <c r="B154" s="7">
        <v>80107756</v>
      </c>
      <c r="C154" s="7" t="s">
        <v>41</v>
      </c>
      <c r="D154" s="7" t="s">
        <v>53</v>
      </c>
      <c r="E154" s="7"/>
      <c r="F154" s="7"/>
      <c r="G154" s="7"/>
      <c r="H154" s="7"/>
      <c r="I154" s="7"/>
      <c r="J154" s="7"/>
      <c r="K154" s="7"/>
      <c r="L154" s="7" t="s">
        <v>180</v>
      </c>
    </row>
    <row r="155" spans="1:12">
      <c r="A155" s="7" t="s">
        <v>52</v>
      </c>
      <c r="B155" s="7">
        <v>80126587</v>
      </c>
      <c r="C155" s="7" t="s">
        <v>41</v>
      </c>
      <c r="D155" s="7" t="s">
        <v>53</v>
      </c>
      <c r="E155" s="7"/>
      <c r="F155" s="7"/>
      <c r="G155" s="7"/>
      <c r="H155" s="7"/>
      <c r="I155" s="7"/>
      <c r="J155" s="7"/>
      <c r="K155" s="7"/>
      <c r="L155" s="7"/>
    </row>
    <row r="156" spans="1:12">
      <c r="A156" s="7" t="s">
        <v>338</v>
      </c>
      <c r="B156" s="7">
        <v>80118168</v>
      </c>
      <c r="C156" s="7" t="s">
        <v>41</v>
      </c>
      <c r="D156" s="7" t="s">
        <v>53</v>
      </c>
      <c r="E156" s="7"/>
      <c r="F156" s="7"/>
      <c r="G156" s="7"/>
      <c r="H156" s="7"/>
      <c r="I156" s="7"/>
      <c r="J156" s="7"/>
      <c r="K156" s="7"/>
      <c r="L156" s="7"/>
    </row>
    <row r="157" spans="1:12">
      <c r="A157" s="7" t="s">
        <v>196</v>
      </c>
      <c r="B157" s="7">
        <v>80104464</v>
      </c>
      <c r="C157" s="7" t="s">
        <v>41</v>
      </c>
      <c r="D157" s="7" t="s">
        <v>53</v>
      </c>
      <c r="E157" s="7"/>
      <c r="F157" s="7"/>
      <c r="G157" s="7"/>
      <c r="H157" s="7"/>
      <c r="I157" s="7" t="s">
        <v>180</v>
      </c>
      <c r="J157" s="7"/>
      <c r="K157" s="7"/>
      <c r="L157" s="7"/>
    </row>
    <row r="158" spans="1:12">
      <c r="A158" s="7" t="s">
        <v>45</v>
      </c>
      <c r="B158" s="7">
        <v>80089519</v>
      </c>
      <c r="C158" s="7" t="s">
        <v>46</v>
      </c>
      <c r="D158" s="7" t="s">
        <v>47</v>
      </c>
      <c r="E158" s="7"/>
      <c r="F158" s="7"/>
      <c r="G158" s="7"/>
      <c r="H158" s="7"/>
      <c r="I158" s="7"/>
      <c r="J158" s="7"/>
      <c r="K158" s="7"/>
      <c r="L158" s="7"/>
    </row>
    <row r="159" spans="1:12">
      <c r="A159" s="7" t="s">
        <v>307</v>
      </c>
      <c r="B159" s="7">
        <v>80123633</v>
      </c>
      <c r="C159" s="7" t="s">
        <v>46</v>
      </c>
      <c r="D159" s="7" t="s">
        <v>47</v>
      </c>
      <c r="E159" s="7"/>
      <c r="F159" s="7"/>
      <c r="G159" s="7"/>
      <c r="H159" s="7"/>
      <c r="I159" s="7"/>
      <c r="J159" s="7"/>
      <c r="K159" s="7"/>
      <c r="L159" s="7"/>
    </row>
    <row r="160" spans="1:12">
      <c r="A160" s="7" t="s">
        <v>313</v>
      </c>
      <c r="B160" s="7">
        <v>80070487</v>
      </c>
      <c r="C160" s="7" t="s">
        <v>46</v>
      </c>
      <c r="D160" s="7" t="s">
        <v>47</v>
      </c>
      <c r="E160" s="7"/>
      <c r="F160" s="7"/>
      <c r="G160" s="7"/>
      <c r="H160" s="7"/>
      <c r="I160" s="7"/>
      <c r="J160" s="7"/>
      <c r="K160" s="7"/>
      <c r="L160" s="7"/>
    </row>
    <row r="161" spans="1:12">
      <c r="A161" s="7" t="s">
        <v>355</v>
      </c>
      <c r="B161" s="7">
        <v>80123785</v>
      </c>
      <c r="C161" s="7" t="s">
        <v>46</v>
      </c>
      <c r="D161" s="7" t="s">
        <v>47</v>
      </c>
      <c r="E161" s="7"/>
      <c r="F161" s="7"/>
      <c r="G161" s="7"/>
      <c r="H161" s="7"/>
      <c r="I161" s="7"/>
      <c r="J161" s="7"/>
      <c r="K161" s="7"/>
      <c r="L161" s="7"/>
    </row>
    <row r="162" spans="1:12">
      <c r="A162" s="7" t="s">
        <v>264</v>
      </c>
      <c r="B162" s="7">
        <v>80125128</v>
      </c>
      <c r="C162" s="7" t="s">
        <v>18</v>
      </c>
      <c r="D162" s="7" t="s">
        <v>117</v>
      </c>
      <c r="E162" s="7"/>
      <c r="F162" s="7"/>
      <c r="G162" s="7"/>
      <c r="H162" s="7"/>
      <c r="I162" s="7"/>
      <c r="J162" s="7"/>
      <c r="K162" s="7"/>
      <c r="L162" s="7"/>
    </row>
    <row r="163" spans="1:12">
      <c r="A163" s="7" t="s">
        <v>116</v>
      </c>
      <c r="B163" s="7">
        <v>80121513</v>
      </c>
      <c r="C163" s="7" t="s">
        <v>18</v>
      </c>
      <c r="D163" s="7" t="s">
        <v>117</v>
      </c>
      <c r="E163" s="7"/>
      <c r="F163" s="7"/>
      <c r="G163" s="7"/>
      <c r="H163" s="7"/>
      <c r="I163" s="7"/>
      <c r="J163" s="7"/>
      <c r="K163" s="7" t="s">
        <v>428</v>
      </c>
      <c r="L163" s="7" t="s">
        <v>180</v>
      </c>
    </row>
    <row r="164" spans="1:12">
      <c r="A164" s="7" t="s">
        <v>356</v>
      </c>
      <c r="B164" s="7">
        <v>80116428</v>
      </c>
      <c r="C164" s="7" t="s">
        <v>18</v>
      </c>
      <c r="D164" s="7" t="s">
        <v>117</v>
      </c>
      <c r="E164" s="7"/>
      <c r="F164" s="7"/>
      <c r="G164" s="7"/>
      <c r="H164" s="7"/>
      <c r="I164" s="7"/>
      <c r="J164" s="7"/>
      <c r="K164" s="7"/>
      <c r="L164" s="7"/>
    </row>
    <row r="165" spans="1:12">
      <c r="A165" s="7" t="s">
        <v>258</v>
      </c>
      <c r="B165" s="7">
        <v>80047326</v>
      </c>
      <c r="C165" s="7" t="s">
        <v>18</v>
      </c>
      <c r="D165" s="7" t="s">
        <v>117</v>
      </c>
      <c r="E165" s="7"/>
      <c r="F165" s="7"/>
      <c r="G165" s="7"/>
      <c r="H165" s="7"/>
      <c r="I165" s="7"/>
      <c r="J165" s="7"/>
      <c r="K165" s="7"/>
      <c r="L165" s="7"/>
    </row>
    <row r="166" spans="1:12">
      <c r="A166" s="7" t="s">
        <v>162</v>
      </c>
      <c r="B166" s="7">
        <v>80097542</v>
      </c>
      <c r="C166" s="7" t="s">
        <v>30</v>
      </c>
      <c r="D166" s="7" t="s">
        <v>163</v>
      </c>
      <c r="E166" s="7"/>
      <c r="F166" s="7"/>
      <c r="G166" s="7"/>
      <c r="H166" s="7"/>
      <c r="I166" s="7"/>
      <c r="J166" s="7"/>
      <c r="K166" s="7"/>
      <c r="L166" s="7"/>
    </row>
    <row r="167" spans="1:12">
      <c r="A167" s="7" t="s">
        <v>397</v>
      </c>
      <c r="B167" s="7">
        <v>80116977</v>
      </c>
      <c r="C167" s="7" t="s">
        <v>30</v>
      </c>
      <c r="D167" s="7" t="s">
        <v>163</v>
      </c>
      <c r="E167" s="7"/>
      <c r="F167" s="7"/>
      <c r="G167" s="7"/>
      <c r="H167" s="7" t="s">
        <v>425</v>
      </c>
      <c r="I167" s="7"/>
      <c r="J167" s="7"/>
      <c r="K167" s="7"/>
      <c r="L167" s="7"/>
    </row>
    <row r="168" spans="1:12">
      <c r="A168" s="7" t="s">
        <v>352</v>
      </c>
      <c r="B168" s="7">
        <v>80119382</v>
      </c>
      <c r="C168" s="7" t="s">
        <v>30</v>
      </c>
      <c r="D168" s="7" t="s">
        <v>163</v>
      </c>
      <c r="E168" s="7"/>
      <c r="F168" s="7"/>
      <c r="G168" s="7"/>
      <c r="H168" s="7"/>
      <c r="I168" s="7"/>
      <c r="J168" s="7"/>
      <c r="K168" s="7"/>
      <c r="L168" s="7"/>
    </row>
    <row r="169" spans="1:12">
      <c r="A169" s="7" t="s">
        <v>268</v>
      </c>
      <c r="B169" s="7">
        <v>80117078</v>
      </c>
      <c r="C169" s="7" t="s">
        <v>18</v>
      </c>
      <c r="D169" s="7" t="s">
        <v>145</v>
      </c>
      <c r="E169" s="7"/>
      <c r="F169" s="7"/>
      <c r="G169" s="7"/>
      <c r="H169" s="7"/>
      <c r="I169" s="7"/>
      <c r="J169" s="7"/>
      <c r="K169" s="7"/>
      <c r="L169" s="7"/>
    </row>
    <row r="170" spans="1:12">
      <c r="A170" s="7" t="s">
        <v>237</v>
      </c>
      <c r="B170" s="7">
        <v>80123293</v>
      </c>
      <c r="C170" s="7" t="s">
        <v>18</v>
      </c>
      <c r="D170" s="7" t="s">
        <v>145</v>
      </c>
      <c r="E170" s="7"/>
      <c r="F170" s="7"/>
      <c r="G170" s="7"/>
      <c r="H170" s="7"/>
      <c r="I170" s="7"/>
      <c r="J170" s="7"/>
      <c r="K170" s="7"/>
      <c r="L170" s="7"/>
    </row>
    <row r="171" spans="1:12">
      <c r="A171" s="7" t="s">
        <v>144</v>
      </c>
      <c r="B171" s="7">
        <v>80064519</v>
      </c>
      <c r="C171" s="7" t="s">
        <v>18</v>
      </c>
      <c r="D171" s="7" t="s">
        <v>145</v>
      </c>
      <c r="E171" s="7"/>
      <c r="F171" s="7"/>
      <c r="G171" s="7"/>
      <c r="H171" s="7"/>
      <c r="I171" s="7"/>
      <c r="J171" s="7"/>
      <c r="K171" s="7"/>
      <c r="L171" s="7"/>
    </row>
    <row r="172" spans="1:12">
      <c r="A172" s="7" t="s">
        <v>365</v>
      </c>
      <c r="B172" s="7">
        <v>80117077</v>
      </c>
      <c r="C172" s="7" t="s">
        <v>18</v>
      </c>
      <c r="D172" s="7" t="s">
        <v>145</v>
      </c>
      <c r="E172" s="7"/>
      <c r="F172" s="7"/>
      <c r="G172" s="7"/>
      <c r="H172" s="7" t="s">
        <v>425</v>
      </c>
      <c r="I172" s="7" t="s">
        <v>180</v>
      </c>
      <c r="J172" s="7"/>
      <c r="K172" s="7"/>
      <c r="L172" s="7"/>
    </row>
    <row r="173" spans="1:12">
      <c r="A173" s="7" t="s">
        <v>342</v>
      </c>
      <c r="B173" s="7">
        <v>80127482</v>
      </c>
      <c r="C173" s="7" t="s">
        <v>18</v>
      </c>
      <c r="D173" s="7" t="s">
        <v>145</v>
      </c>
      <c r="E173" s="7" t="s">
        <v>180</v>
      </c>
      <c r="F173" s="7"/>
      <c r="G173" s="7"/>
      <c r="H173" s="7"/>
      <c r="I173" s="7"/>
      <c r="J173" s="7" t="s">
        <v>428</v>
      </c>
      <c r="K173" s="7" t="s">
        <v>428</v>
      </c>
      <c r="L173" s="7" t="s">
        <v>180</v>
      </c>
    </row>
    <row r="174" spans="1:12">
      <c r="A174" s="7" t="s">
        <v>324</v>
      </c>
      <c r="B174" s="7">
        <v>80129739</v>
      </c>
      <c r="C174" s="7" t="s">
        <v>18</v>
      </c>
      <c r="D174" s="7" t="s">
        <v>145</v>
      </c>
      <c r="E174" s="7"/>
      <c r="F174" s="7"/>
      <c r="G174" s="7"/>
      <c r="H174" s="7"/>
      <c r="I174" s="7" t="s">
        <v>425</v>
      </c>
      <c r="J174" s="7"/>
      <c r="K174" s="7"/>
      <c r="L174" s="7"/>
    </row>
    <row r="175" spans="1:12">
      <c r="A175" s="7" t="s">
        <v>270</v>
      </c>
      <c r="B175" s="7">
        <v>80079090</v>
      </c>
      <c r="C175" s="7" t="s">
        <v>41</v>
      </c>
      <c r="D175" s="7" t="s">
        <v>81</v>
      </c>
      <c r="E175" s="7"/>
      <c r="F175" s="7" t="s">
        <v>180</v>
      </c>
      <c r="G175" s="7"/>
      <c r="H175" s="7"/>
      <c r="I175" s="7"/>
      <c r="J175" s="7"/>
      <c r="K175" s="7"/>
      <c r="L175" s="7"/>
    </row>
    <row r="176" spans="1:12">
      <c r="A176" s="7" t="s">
        <v>80</v>
      </c>
      <c r="B176" s="7">
        <v>80123294</v>
      </c>
      <c r="C176" s="7" t="s">
        <v>41</v>
      </c>
      <c r="D176" s="7" t="s">
        <v>81</v>
      </c>
      <c r="E176" s="7"/>
      <c r="F176" s="7"/>
      <c r="G176" s="7"/>
      <c r="H176" s="7"/>
      <c r="I176" s="7"/>
      <c r="J176" s="7" t="s">
        <v>428</v>
      </c>
      <c r="K176" s="7"/>
      <c r="L176" s="7"/>
    </row>
    <row r="177" spans="1:12">
      <c r="A177" s="7" t="s">
        <v>191</v>
      </c>
      <c r="B177" s="7">
        <v>80047236</v>
      </c>
      <c r="C177" s="7" t="s">
        <v>41</v>
      </c>
      <c r="D177" s="7" t="s">
        <v>81</v>
      </c>
      <c r="E177" s="7"/>
      <c r="F177" s="7"/>
      <c r="G177" s="7"/>
      <c r="H177" s="7"/>
      <c r="I177" s="7"/>
      <c r="J177" s="7"/>
      <c r="K177" s="7"/>
      <c r="L177" s="7"/>
    </row>
    <row r="178" spans="1:12">
      <c r="A178" s="7" t="s">
        <v>193</v>
      </c>
      <c r="B178" s="7">
        <v>80106248</v>
      </c>
      <c r="C178" s="7" t="s">
        <v>41</v>
      </c>
      <c r="D178" s="7" t="s">
        <v>81</v>
      </c>
      <c r="E178" s="7"/>
      <c r="F178" s="7"/>
      <c r="G178" s="7"/>
      <c r="H178" s="7"/>
      <c r="I178" s="7"/>
      <c r="J178" s="7"/>
      <c r="K178" s="7"/>
      <c r="L178" s="7"/>
    </row>
    <row r="179" spans="1:12">
      <c r="A179" s="7" t="s">
        <v>146</v>
      </c>
      <c r="B179" s="7">
        <v>80114051</v>
      </c>
      <c r="C179" s="7" t="s">
        <v>30</v>
      </c>
      <c r="D179" s="7" t="s">
        <v>147</v>
      </c>
      <c r="E179" s="7"/>
      <c r="F179" s="7"/>
      <c r="G179" s="7" t="s">
        <v>180</v>
      </c>
      <c r="H179" s="7"/>
      <c r="I179" s="7"/>
      <c r="J179" s="7"/>
      <c r="K179" s="7"/>
      <c r="L179" s="7"/>
    </row>
    <row r="180" spans="1:12">
      <c r="A180" s="7" t="s">
        <v>312</v>
      </c>
      <c r="B180" s="7">
        <v>80105960</v>
      </c>
      <c r="C180" s="7" t="s">
        <v>30</v>
      </c>
      <c r="D180" s="7" t="s">
        <v>147</v>
      </c>
      <c r="E180" s="7"/>
      <c r="F180" s="7"/>
      <c r="G180" s="7"/>
      <c r="H180" s="7"/>
      <c r="I180" s="7"/>
      <c r="J180" s="7"/>
      <c r="K180" s="7"/>
      <c r="L180" s="7"/>
    </row>
    <row r="181" spans="1:12">
      <c r="A181" s="7" t="s">
        <v>253</v>
      </c>
      <c r="B181" s="7">
        <v>80123722</v>
      </c>
      <c r="C181" s="7" t="s">
        <v>30</v>
      </c>
      <c r="D181" s="7" t="s">
        <v>147</v>
      </c>
      <c r="E181" s="7"/>
      <c r="F181" s="7"/>
      <c r="G181" s="7"/>
      <c r="H181" s="7"/>
      <c r="I181" s="7"/>
      <c r="J181" s="7"/>
      <c r="K181" s="7"/>
      <c r="L181" s="7"/>
    </row>
    <row r="182" spans="1:12">
      <c r="A182" s="7" t="s">
        <v>217</v>
      </c>
      <c r="B182" s="7">
        <v>80104720</v>
      </c>
      <c r="C182" s="7" t="s">
        <v>27</v>
      </c>
      <c r="D182" s="7" t="s">
        <v>65</v>
      </c>
      <c r="E182" s="7"/>
      <c r="F182" s="7"/>
      <c r="G182" s="7"/>
      <c r="H182" s="7"/>
      <c r="I182" s="7"/>
      <c r="J182" s="7"/>
      <c r="K182" s="7"/>
      <c r="L182" s="7"/>
    </row>
    <row r="183" spans="1:12">
      <c r="A183" s="7" t="s">
        <v>64</v>
      </c>
      <c r="B183" s="7">
        <v>80114892</v>
      </c>
      <c r="C183" s="7" t="s">
        <v>27</v>
      </c>
      <c r="D183" s="7" t="s">
        <v>65</v>
      </c>
      <c r="E183" s="7"/>
      <c r="F183" s="7"/>
      <c r="G183" s="7"/>
      <c r="H183" s="7"/>
      <c r="I183" s="7"/>
      <c r="J183" s="7"/>
      <c r="K183" s="7"/>
      <c r="L183" s="7"/>
    </row>
    <row r="184" spans="1:12">
      <c r="A184" s="7" t="s">
        <v>390</v>
      </c>
      <c r="B184" s="7">
        <v>80025181</v>
      </c>
      <c r="C184" s="7" t="s">
        <v>27</v>
      </c>
      <c r="D184" s="7" t="s">
        <v>65</v>
      </c>
      <c r="E184" s="7"/>
      <c r="F184" s="7"/>
      <c r="G184" s="7"/>
      <c r="H184" s="7"/>
      <c r="I184" s="7"/>
      <c r="J184" s="7"/>
      <c r="K184" s="7"/>
      <c r="L184" s="7"/>
    </row>
    <row r="185" spans="1:12">
      <c r="A185" s="7" t="s">
        <v>195</v>
      </c>
      <c r="B185" s="7">
        <v>80129412</v>
      </c>
      <c r="C185" s="7" t="s">
        <v>27</v>
      </c>
      <c r="D185" s="7" t="s">
        <v>65</v>
      </c>
      <c r="E185" s="7"/>
      <c r="F185" s="7"/>
      <c r="G185" s="7"/>
      <c r="H185" s="7"/>
      <c r="I185" s="7"/>
      <c r="J185" s="7"/>
      <c r="K185" s="7"/>
      <c r="L185" s="7"/>
    </row>
    <row r="186" spans="1:12">
      <c r="A186" s="7" t="s">
        <v>383</v>
      </c>
      <c r="B186" s="7">
        <v>80122915</v>
      </c>
      <c r="C186" s="7" t="s">
        <v>46</v>
      </c>
      <c r="D186" s="7" t="s">
        <v>159</v>
      </c>
      <c r="E186" s="7"/>
      <c r="F186" s="7"/>
      <c r="G186" s="7"/>
      <c r="H186" s="7"/>
      <c r="I186" s="7"/>
      <c r="J186" s="7"/>
      <c r="K186" s="7" t="s">
        <v>428</v>
      </c>
      <c r="L186" s="7" t="s">
        <v>180</v>
      </c>
    </row>
    <row r="187" spans="1:12">
      <c r="A187" s="7" t="s">
        <v>158</v>
      </c>
      <c r="B187" s="7">
        <v>80042826</v>
      </c>
      <c r="C187" s="7" t="s">
        <v>46</v>
      </c>
      <c r="D187" s="7" t="s">
        <v>159</v>
      </c>
      <c r="E187" s="7"/>
      <c r="F187" s="7"/>
      <c r="G187" s="7"/>
      <c r="H187" s="7"/>
      <c r="I187" s="7"/>
      <c r="J187" s="7"/>
      <c r="K187" s="7"/>
      <c r="L187" s="7"/>
    </row>
    <row r="188" spans="1:12">
      <c r="A188" s="7" t="s">
        <v>380</v>
      </c>
      <c r="B188" s="7">
        <v>80025064</v>
      </c>
      <c r="C188" s="7" t="s">
        <v>46</v>
      </c>
      <c r="D188" s="7" t="s">
        <v>159</v>
      </c>
      <c r="E188" s="7"/>
      <c r="F188" s="7"/>
      <c r="G188" s="7"/>
      <c r="H188" s="7"/>
      <c r="I188" s="7"/>
      <c r="J188" s="7"/>
      <c r="K188" s="7"/>
      <c r="L188" s="7"/>
    </row>
    <row r="189" spans="1:12">
      <c r="A189" s="7" t="s">
        <v>335</v>
      </c>
      <c r="B189" s="7">
        <v>80126970</v>
      </c>
      <c r="C189" s="7" t="s">
        <v>46</v>
      </c>
      <c r="D189" s="7" t="s">
        <v>159</v>
      </c>
      <c r="E189" s="7"/>
      <c r="F189" s="7"/>
      <c r="G189" s="7"/>
      <c r="H189" s="7"/>
      <c r="I189" s="7"/>
      <c r="J189" s="7"/>
      <c r="K189" s="7"/>
      <c r="L189" s="7"/>
    </row>
    <row r="190" spans="1:12">
      <c r="A190" s="7" t="s">
        <v>391</v>
      </c>
      <c r="B190" s="7">
        <v>80084239</v>
      </c>
      <c r="C190" s="7" t="s">
        <v>27</v>
      </c>
      <c r="D190" s="7" t="s">
        <v>153</v>
      </c>
      <c r="E190" s="7"/>
      <c r="F190" s="7"/>
      <c r="G190" s="7"/>
      <c r="H190" s="7"/>
      <c r="I190" s="7"/>
      <c r="J190" s="7"/>
      <c r="K190" s="7"/>
      <c r="L190" s="7"/>
    </row>
    <row r="191" spans="1:12">
      <c r="A191" s="7" t="s">
        <v>362</v>
      </c>
      <c r="B191" s="7">
        <v>80116829</v>
      </c>
      <c r="C191" s="7" t="s">
        <v>27</v>
      </c>
      <c r="D191" s="7" t="s">
        <v>153</v>
      </c>
      <c r="E191" s="7"/>
      <c r="F191" s="7"/>
      <c r="G191" s="7"/>
      <c r="H191" s="7"/>
      <c r="I191" s="7"/>
      <c r="J191" s="7"/>
      <c r="K191" s="7"/>
      <c r="L191" s="7"/>
    </row>
    <row r="192" spans="1:12">
      <c r="A192" s="7" t="s">
        <v>152</v>
      </c>
      <c r="B192" s="7">
        <v>80120701</v>
      </c>
      <c r="C192" s="7" t="s">
        <v>27</v>
      </c>
      <c r="D192" s="7" t="s">
        <v>153</v>
      </c>
      <c r="E192" s="7"/>
      <c r="F192" s="7"/>
      <c r="G192" s="7"/>
      <c r="H192" s="7"/>
      <c r="I192" s="7"/>
      <c r="J192" s="7"/>
      <c r="K192" s="7"/>
      <c r="L192" s="7"/>
    </row>
    <row r="193" spans="1:12">
      <c r="A193" s="7" t="s">
        <v>160</v>
      </c>
      <c r="B193" s="7">
        <v>80127488</v>
      </c>
      <c r="C193" s="7" t="s">
        <v>46</v>
      </c>
      <c r="D193" s="7" t="s">
        <v>161</v>
      </c>
      <c r="E193" s="7"/>
      <c r="F193" s="7"/>
      <c r="G193" s="7"/>
      <c r="H193" s="7"/>
      <c r="I193" s="7"/>
      <c r="J193" s="7"/>
      <c r="K193" s="7"/>
      <c r="L193" s="7"/>
    </row>
    <row r="194" spans="1:12">
      <c r="A194" s="7" t="s">
        <v>418</v>
      </c>
      <c r="B194" s="7">
        <v>80126691</v>
      </c>
      <c r="C194" s="7" t="s">
        <v>46</v>
      </c>
      <c r="D194" s="7" t="s">
        <v>161</v>
      </c>
      <c r="E194" s="7" t="s">
        <v>180</v>
      </c>
      <c r="F194" s="7" t="s">
        <v>180</v>
      </c>
      <c r="G194" s="7"/>
      <c r="H194" s="7" t="s">
        <v>180</v>
      </c>
      <c r="I194" s="7" t="s">
        <v>180</v>
      </c>
      <c r="J194" s="7" t="s">
        <v>428</v>
      </c>
      <c r="K194" s="7" t="s">
        <v>428</v>
      </c>
      <c r="L194" s="7"/>
    </row>
    <row r="195" spans="1:12">
      <c r="A195" s="7" t="s">
        <v>373</v>
      </c>
      <c r="B195" s="7">
        <v>80128871</v>
      </c>
      <c r="C195" s="7" t="s">
        <v>46</v>
      </c>
      <c r="D195" s="7" t="s">
        <v>161</v>
      </c>
      <c r="E195" s="7"/>
      <c r="F195" s="7"/>
      <c r="G195" s="7" t="s">
        <v>180</v>
      </c>
      <c r="H195" s="7" t="s">
        <v>425</v>
      </c>
      <c r="I195" s="7"/>
      <c r="J195" s="7"/>
      <c r="K195" s="7"/>
      <c r="L195" s="7"/>
    </row>
    <row r="196" spans="1:12">
      <c r="A196" s="7" t="s">
        <v>354</v>
      </c>
      <c r="B196" s="7">
        <v>80071762</v>
      </c>
      <c r="C196" s="7" t="s">
        <v>46</v>
      </c>
      <c r="D196" s="7" t="s">
        <v>161</v>
      </c>
      <c r="E196" s="7"/>
      <c r="F196" s="7"/>
      <c r="G196" s="7"/>
      <c r="H196" s="7" t="s">
        <v>180</v>
      </c>
      <c r="I196" s="7" t="s">
        <v>425</v>
      </c>
      <c r="J196" s="7"/>
      <c r="K196" s="7"/>
      <c r="L196" s="7"/>
    </row>
    <row r="197" spans="1:12">
      <c r="A197" s="7" t="s">
        <v>72</v>
      </c>
      <c r="B197" s="7">
        <v>80123550</v>
      </c>
      <c r="C197" s="7" t="s">
        <v>18</v>
      </c>
      <c r="D197" s="7" t="s">
        <v>73</v>
      </c>
      <c r="E197" s="7"/>
      <c r="F197" s="7"/>
      <c r="G197" s="7"/>
      <c r="H197" s="7"/>
      <c r="I197" s="7" t="s">
        <v>425</v>
      </c>
      <c r="J197" s="7"/>
      <c r="K197" s="7"/>
      <c r="L197" s="7"/>
    </row>
    <row r="198" spans="1:12">
      <c r="A198" s="7" t="s">
        <v>361</v>
      </c>
      <c r="B198" s="7">
        <v>80129413</v>
      </c>
      <c r="C198" s="7" t="s">
        <v>18</v>
      </c>
      <c r="D198" s="7" t="s">
        <v>73</v>
      </c>
      <c r="E198" s="7"/>
      <c r="F198" s="7"/>
      <c r="G198" s="7" t="s">
        <v>425</v>
      </c>
      <c r="H198" s="7" t="s">
        <v>180</v>
      </c>
      <c r="I198" s="7"/>
      <c r="J198" s="7"/>
      <c r="K198" s="7"/>
      <c r="L198" s="7"/>
    </row>
    <row r="199" spans="1:12">
      <c r="A199" s="7" t="s">
        <v>344</v>
      </c>
      <c r="B199" s="7">
        <v>80127511</v>
      </c>
      <c r="C199" s="7" t="s">
        <v>18</v>
      </c>
      <c r="D199" s="7" t="s">
        <v>73</v>
      </c>
      <c r="E199" s="7"/>
      <c r="F199" s="7"/>
      <c r="G199" s="7" t="s">
        <v>180</v>
      </c>
      <c r="H199" s="7" t="s">
        <v>425</v>
      </c>
      <c r="I199" s="7"/>
      <c r="J199" s="7"/>
      <c r="K199" s="7"/>
      <c r="L199" s="7"/>
    </row>
    <row r="200" spans="1:12">
      <c r="A200" s="7" t="s">
        <v>257</v>
      </c>
      <c r="B200" s="7">
        <v>80120274</v>
      </c>
      <c r="C200" s="7" t="s">
        <v>18</v>
      </c>
      <c r="D200" s="7" t="s">
        <v>73</v>
      </c>
      <c r="E200" s="7"/>
      <c r="F200" s="7"/>
      <c r="G200" s="7" t="s">
        <v>180</v>
      </c>
      <c r="H200" s="7"/>
      <c r="I200" s="7"/>
      <c r="J200" s="7"/>
      <c r="K200" s="7"/>
      <c r="L200" s="7" t="s">
        <v>180</v>
      </c>
    </row>
    <row r="201" spans="1:12">
      <c r="A201" s="7" t="s">
        <v>209</v>
      </c>
      <c r="B201" s="7">
        <v>80091900</v>
      </c>
      <c r="C201" s="7" t="s">
        <v>41</v>
      </c>
      <c r="D201" s="7" t="s">
        <v>42</v>
      </c>
      <c r="E201" s="7"/>
      <c r="F201" s="7"/>
      <c r="G201" s="7"/>
      <c r="H201" s="7"/>
      <c r="I201" s="7"/>
      <c r="J201" s="7"/>
      <c r="K201" s="7"/>
      <c r="L201" s="7"/>
    </row>
    <row r="202" spans="1:12">
      <c r="A202" s="7" t="s">
        <v>232</v>
      </c>
      <c r="B202" s="7">
        <v>80129023</v>
      </c>
      <c r="C202" s="7" t="s">
        <v>41</v>
      </c>
      <c r="D202" s="7" t="s">
        <v>42</v>
      </c>
      <c r="E202" s="7"/>
      <c r="F202" s="7"/>
      <c r="G202" s="7"/>
      <c r="H202" s="7"/>
      <c r="I202" s="7"/>
      <c r="J202" s="7"/>
      <c r="K202" s="7"/>
      <c r="L202" s="7"/>
    </row>
    <row r="203" spans="1:12">
      <c r="A203" s="7" t="s">
        <v>212</v>
      </c>
      <c r="B203" s="7">
        <v>80068258</v>
      </c>
      <c r="C203" s="7" t="s">
        <v>41</v>
      </c>
      <c r="D203" s="7" t="s">
        <v>42</v>
      </c>
      <c r="E203" s="7"/>
      <c r="F203" s="7"/>
      <c r="G203" s="7"/>
      <c r="H203" s="7"/>
      <c r="I203" s="7"/>
      <c r="J203" s="7"/>
      <c r="K203" s="7"/>
      <c r="L203" s="7"/>
    </row>
    <row r="204" spans="1:12">
      <c r="A204" s="7" t="s">
        <v>40</v>
      </c>
      <c r="B204" s="7">
        <v>80098147</v>
      </c>
      <c r="C204" s="7" t="s">
        <v>41</v>
      </c>
      <c r="D204" s="7" t="s">
        <v>42</v>
      </c>
      <c r="E204" s="7"/>
      <c r="F204" s="7"/>
      <c r="G204" s="7"/>
      <c r="H204" s="7"/>
      <c r="I204" s="7"/>
      <c r="J204" s="7"/>
      <c r="K204" s="7"/>
      <c r="L204" s="7"/>
    </row>
    <row r="205" spans="1:12">
      <c r="A205" s="7" t="s">
        <v>118</v>
      </c>
      <c r="B205" s="7">
        <v>80067121</v>
      </c>
      <c r="C205" s="7" t="s">
        <v>46</v>
      </c>
      <c r="D205" s="7" t="s">
        <v>119</v>
      </c>
      <c r="E205" s="7"/>
      <c r="F205" s="7"/>
      <c r="G205" s="7"/>
      <c r="H205" s="7"/>
      <c r="I205" s="7"/>
      <c r="J205" s="7"/>
      <c r="K205" s="7"/>
      <c r="L205" s="7"/>
    </row>
    <row r="206" spans="1:12">
      <c r="A206" s="7" t="s">
        <v>379</v>
      </c>
      <c r="B206" s="7">
        <v>80128586</v>
      </c>
      <c r="C206" s="7" t="s">
        <v>46</v>
      </c>
      <c r="D206" s="7" t="s">
        <v>119</v>
      </c>
      <c r="E206" s="7"/>
      <c r="F206" s="7"/>
      <c r="G206" s="7"/>
      <c r="H206" s="7"/>
      <c r="I206" s="7"/>
      <c r="J206" s="7"/>
      <c r="K206" s="7"/>
      <c r="L206" s="7"/>
    </row>
    <row r="207" spans="1:12">
      <c r="A207" s="7" t="s">
        <v>363</v>
      </c>
      <c r="B207" s="7">
        <v>80090520</v>
      </c>
      <c r="C207" s="7" t="s">
        <v>46</v>
      </c>
      <c r="D207" s="7" t="s">
        <v>119</v>
      </c>
      <c r="E207" s="7"/>
      <c r="F207" s="7"/>
      <c r="G207" s="7"/>
      <c r="H207" s="7"/>
      <c r="I207" s="7"/>
      <c r="J207" s="7"/>
      <c r="K207" s="7"/>
      <c r="L207" s="7"/>
    </row>
    <row r="208" spans="1:12">
      <c r="A208" s="7" t="s">
        <v>329</v>
      </c>
      <c r="B208" s="7">
        <v>80116536</v>
      </c>
      <c r="C208" s="7" t="s">
        <v>46</v>
      </c>
      <c r="D208" s="7" t="s">
        <v>119</v>
      </c>
      <c r="E208" s="7"/>
      <c r="F208" s="7"/>
      <c r="G208" s="7"/>
      <c r="H208" s="7"/>
      <c r="I208" s="7"/>
      <c r="J208" s="7"/>
      <c r="K208" s="7"/>
      <c r="L208" s="7"/>
    </row>
    <row r="209" spans="1:12">
      <c r="A209" s="7" t="s">
        <v>240</v>
      </c>
      <c r="B209" s="7">
        <v>80087261</v>
      </c>
      <c r="C209" s="7" t="s">
        <v>18</v>
      </c>
      <c r="D209" s="7" t="s">
        <v>125</v>
      </c>
      <c r="E209" s="7"/>
      <c r="F209" s="7"/>
      <c r="G209" s="7" t="s">
        <v>425</v>
      </c>
      <c r="H209" s="7" t="s">
        <v>180</v>
      </c>
      <c r="I209" s="7"/>
      <c r="J209" s="7"/>
      <c r="K209" s="7"/>
      <c r="L209" s="7"/>
    </row>
    <row r="210" spans="1:12">
      <c r="A210" s="7" t="s">
        <v>124</v>
      </c>
      <c r="B210" s="7">
        <v>80125115</v>
      </c>
      <c r="C210" s="7" t="s">
        <v>18</v>
      </c>
      <c r="D210" s="7" t="s">
        <v>125</v>
      </c>
      <c r="E210" s="7"/>
      <c r="F210" s="7"/>
      <c r="G210" s="7"/>
      <c r="H210" s="7"/>
      <c r="I210" s="7"/>
      <c r="J210" s="7"/>
      <c r="K210" s="7"/>
      <c r="L210" s="7"/>
    </row>
    <row r="211" spans="1:12">
      <c r="A211" s="7" t="s">
        <v>303</v>
      </c>
      <c r="B211" s="7">
        <v>80129736</v>
      </c>
      <c r="C211" s="7" t="s">
        <v>18</v>
      </c>
      <c r="D211" s="7" t="s">
        <v>125</v>
      </c>
      <c r="E211" s="7"/>
      <c r="F211" s="7"/>
      <c r="G211" s="7"/>
      <c r="H211" s="7"/>
      <c r="I211" s="7" t="s">
        <v>425</v>
      </c>
      <c r="J211" s="7"/>
      <c r="K211" s="7"/>
      <c r="L211" s="7"/>
    </row>
    <row r="212" spans="1:12">
      <c r="A212" s="7" t="s">
        <v>349</v>
      </c>
      <c r="B212" s="7">
        <v>80118137</v>
      </c>
      <c r="C212" s="7" t="s">
        <v>18</v>
      </c>
      <c r="D212" s="7" t="s">
        <v>125</v>
      </c>
      <c r="E212" s="7" t="s">
        <v>180</v>
      </c>
      <c r="F212" s="7"/>
      <c r="G212" s="7"/>
      <c r="H212" s="7"/>
      <c r="I212" s="7"/>
      <c r="J212" s="7"/>
      <c r="K212" s="7"/>
      <c r="L212" s="7" t="s">
        <v>180</v>
      </c>
    </row>
    <row r="213" spans="1:12">
      <c r="A213" s="7" t="s">
        <v>148</v>
      </c>
      <c r="B213" s="7">
        <v>80002499</v>
      </c>
      <c r="C213" s="7" t="s">
        <v>30</v>
      </c>
      <c r="D213" s="7" t="s">
        <v>149</v>
      </c>
      <c r="E213" s="7"/>
      <c r="F213" s="7"/>
      <c r="G213" s="7"/>
      <c r="H213" s="7"/>
      <c r="I213" s="7"/>
      <c r="J213" s="7"/>
      <c r="K213" s="7"/>
      <c r="L213" s="7"/>
    </row>
    <row r="214" spans="1:12">
      <c r="A214" s="7" t="s">
        <v>389</v>
      </c>
      <c r="B214" s="7">
        <v>80055703</v>
      </c>
      <c r="C214" s="7" t="s">
        <v>30</v>
      </c>
      <c r="D214" s="7" t="s">
        <v>149</v>
      </c>
      <c r="E214" s="7"/>
      <c r="F214" s="7"/>
      <c r="G214" s="7"/>
      <c r="H214" s="7"/>
      <c r="I214" s="7"/>
      <c r="J214" s="7"/>
      <c r="K214" s="7"/>
      <c r="L214" s="7"/>
    </row>
    <row r="215" spans="1:12">
      <c r="A215" s="7" t="s">
        <v>326</v>
      </c>
      <c r="B215" s="7">
        <v>80001125</v>
      </c>
      <c r="C215" s="7" t="s">
        <v>30</v>
      </c>
      <c r="D215" s="7" t="s">
        <v>149</v>
      </c>
      <c r="E215" s="7"/>
      <c r="F215" s="7"/>
      <c r="G215" s="7"/>
      <c r="H215" s="7"/>
      <c r="I215" s="7"/>
      <c r="J215" s="7"/>
      <c r="K215" s="7"/>
      <c r="L215" s="7"/>
    </row>
    <row r="216" spans="1:12">
      <c r="A216" s="7" t="s">
        <v>90</v>
      </c>
      <c r="B216" s="7">
        <v>80125977</v>
      </c>
      <c r="C216" s="7" t="s">
        <v>46</v>
      </c>
      <c r="D216" s="7" t="s">
        <v>91</v>
      </c>
      <c r="E216" s="7"/>
      <c r="F216" s="7"/>
      <c r="G216" s="7"/>
      <c r="H216" s="7"/>
      <c r="I216" s="7"/>
      <c r="J216" s="7"/>
      <c r="K216" s="7"/>
      <c r="L216" s="7"/>
    </row>
    <row r="217" spans="1:12">
      <c r="A217" s="7" t="s">
        <v>394</v>
      </c>
      <c r="B217" s="7">
        <v>80127889</v>
      </c>
      <c r="C217" s="7" t="s">
        <v>46</v>
      </c>
      <c r="D217" s="7" t="s">
        <v>91</v>
      </c>
      <c r="E217" s="7"/>
      <c r="F217" s="7"/>
      <c r="G217" s="7"/>
      <c r="H217" s="7"/>
      <c r="I217" s="7"/>
      <c r="J217" s="7"/>
      <c r="K217" s="7"/>
      <c r="L217" s="7"/>
    </row>
    <row r="218" spans="1:12">
      <c r="A218" s="7" t="s">
        <v>385</v>
      </c>
      <c r="B218" s="7">
        <v>80123202</v>
      </c>
      <c r="C218" s="7" t="s">
        <v>46</v>
      </c>
      <c r="D218" s="7" t="s">
        <v>91</v>
      </c>
      <c r="E218" s="7"/>
      <c r="F218" s="7"/>
      <c r="G218" s="7"/>
      <c r="H218" s="7"/>
      <c r="I218" s="7"/>
      <c r="J218" s="7"/>
      <c r="K218" s="7"/>
      <c r="L218" s="7"/>
    </row>
    <row r="219" spans="1:12">
      <c r="A219" s="7" t="s">
        <v>392</v>
      </c>
      <c r="B219" s="7">
        <v>80127513</v>
      </c>
      <c r="C219" s="7" t="s">
        <v>46</v>
      </c>
      <c r="D219" s="7" t="s">
        <v>91</v>
      </c>
      <c r="E219" s="7"/>
      <c r="F219" s="7"/>
      <c r="G219" s="7"/>
      <c r="H219" s="7"/>
      <c r="I219" s="7"/>
      <c r="J219" s="7"/>
      <c r="K219" s="7"/>
      <c r="L219" s="7"/>
    </row>
    <row r="220" spans="1:12">
      <c r="A220" s="7" t="s">
        <v>283</v>
      </c>
      <c r="B220" s="7">
        <v>80081083</v>
      </c>
      <c r="C220" s="7" t="s">
        <v>18</v>
      </c>
      <c r="D220" s="7" t="s">
        <v>121</v>
      </c>
      <c r="E220" s="7"/>
      <c r="F220" s="7"/>
      <c r="G220" s="7"/>
      <c r="H220" s="7" t="s">
        <v>180</v>
      </c>
      <c r="I220" s="7" t="s">
        <v>180</v>
      </c>
      <c r="J220" s="7"/>
      <c r="K220" s="7"/>
      <c r="L220" s="7"/>
    </row>
    <row r="221" spans="1:12">
      <c r="A221" s="7" t="s">
        <v>120</v>
      </c>
      <c r="B221" s="7">
        <v>80127803</v>
      </c>
      <c r="C221" s="7" t="s">
        <v>18</v>
      </c>
      <c r="D221" s="7" t="s">
        <v>121</v>
      </c>
      <c r="E221" s="7" t="s">
        <v>180</v>
      </c>
      <c r="F221" s="7"/>
      <c r="G221" s="7"/>
      <c r="H221" s="7"/>
      <c r="I221" s="7"/>
      <c r="J221" s="7"/>
      <c r="K221" s="7"/>
      <c r="L221" s="7"/>
    </row>
    <row r="222" spans="1:12">
      <c r="A222" s="7" t="s">
        <v>413</v>
      </c>
      <c r="B222" s="7">
        <v>80108197</v>
      </c>
      <c r="C222" s="7" t="s">
        <v>18</v>
      </c>
      <c r="D222" s="7" t="s">
        <v>121</v>
      </c>
      <c r="E222" s="7"/>
      <c r="F222" s="7"/>
      <c r="G222" s="7"/>
      <c r="H222" s="7"/>
      <c r="I222" s="7"/>
      <c r="J222" s="7"/>
      <c r="K222" s="7"/>
      <c r="L222" s="7"/>
    </row>
    <row r="223" spans="1:12">
      <c r="A223" s="7" t="s">
        <v>400</v>
      </c>
      <c r="B223" s="7">
        <v>80058148</v>
      </c>
      <c r="C223" s="7" t="s">
        <v>18</v>
      </c>
      <c r="D223" s="7" t="s">
        <v>121</v>
      </c>
      <c r="E223" s="7" t="s">
        <v>180</v>
      </c>
      <c r="F223" s="7"/>
      <c r="G223" s="7"/>
      <c r="H223" s="7"/>
      <c r="I223" s="7"/>
      <c r="J223" s="7"/>
      <c r="K223" s="7" t="s">
        <v>428</v>
      </c>
      <c r="L223" s="7" t="s">
        <v>180</v>
      </c>
    </row>
    <row r="224" spans="1:12">
      <c r="A224" s="7" t="s">
        <v>76</v>
      </c>
      <c r="B224" s="7">
        <v>80121125</v>
      </c>
      <c r="C224" s="7" t="s">
        <v>30</v>
      </c>
      <c r="D224" s="7" t="s">
        <v>77</v>
      </c>
      <c r="E224" s="7"/>
      <c r="F224" s="7"/>
      <c r="G224" s="7"/>
      <c r="H224" s="7"/>
      <c r="I224" s="7"/>
      <c r="J224" s="7"/>
      <c r="K224" s="7"/>
      <c r="L224" s="7"/>
    </row>
    <row r="225" spans="1:12">
      <c r="A225" s="7" t="s">
        <v>366</v>
      </c>
      <c r="B225" s="7">
        <v>80031805</v>
      </c>
      <c r="C225" s="7" t="s">
        <v>30</v>
      </c>
      <c r="D225" s="7" t="s">
        <v>77</v>
      </c>
      <c r="E225" s="7"/>
      <c r="F225" s="7"/>
      <c r="G225" s="7"/>
      <c r="H225" s="7"/>
      <c r="I225" s="7"/>
      <c r="J225" s="7"/>
      <c r="K225" s="7"/>
      <c r="L225" s="7"/>
    </row>
    <row r="226" spans="1:12">
      <c r="A226" s="7" t="s">
        <v>336</v>
      </c>
      <c r="B226" s="7">
        <v>80062554</v>
      </c>
      <c r="C226" s="7" t="s">
        <v>30</v>
      </c>
      <c r="D226" s="7" t="s">
        <v>77</v>
      </c>
      <c r="E226" s="7"/>
      <c r="F226" s="7"/>
      <c r="G226" s="7"/>
      <c r="H226" s="7"/>
      <c r="I226" s="7"/>
      <c r="J226" s="7"/>
      <c r="K226" s="7"/>
      <c r="L226" s="7"/>
    </row>
    <row r="227" spans="1:12">
      <c r="A227" s="7" t="s">
        <v>298</v>
      </c>
      <c r="B227" s="7">
        <v>80079044</v>
      </c>
      <c r="C227" s="7" t="s">
        <v>41</v>
      </c>
      <c r="D227" s="7" t="s">
        <v>131</v>
      </c>
      <c r="E227" s="7"/>
      <c r="F227" s="7"/>
      <c r="G227" s="7"/>
      <c r="H227" s="7"/>
      <c r="I227" s="7"/>
      <c r="J227" s="7"/>
      <c r="K227" s="7"/>
      <c r="L227" s="7"/>
    </row>
    <row r="228" spans="1:12">
      <c r="A228" s="7" t="s">
        <v>416</v>
      </c>
      <c r="B228" s="7">
        <v>80122081</v>
      </c>
      <c r="C228" s="7" t="s">
        <v>41</v>
      </c>
      <c r="D228" s="7" t="s">
        <v>131</v>
      </c>
      <c r="E228" s="7"/>
      <c r="F228" s="7"/>
      <c r="G228" s="7"/>
      <c r="H228" s="7"/>
      <c r="I228" s="7"/>
      <c r="J228" s="7"/>
      <c r="K228" s="7" t="s">
        <v>428</v>
      </c>
      <c r="L228" s="7" t="s">
        <v>180</v>
      </c>
    </row>
    <row r="229" spans="1:12">
      <c r="A229" s="7" t="s">
        <v>130</v>
      </c>
      <c r="B229" s="7">
        <v>80104417</v>
      </c>
      <c r="C229" s="7" t="s">
        <v>41</v>
      </c>
      <c r="D229" s="7" t="s">
        <v>131</v>
      </c>
      <c r="E229" s="7"/>
      <c r="F229" s="7"/>
      <c r="G229" s="7"/>
      <c r="H229" s="7"/>
      <c r="I229" s="7"/>
      <c r="J229" s="7"/>
      <c r="K229" s="7"/>
      <c r="L229" s="7"/>
    </row>
    <row r="230" spans="1:12">
      <c r="A230" s="7" t="s">
        <v>281</v>
      </c>
      <c r="B230" s="7">
        <v>80128497</v>
      </c>
      <c r="C230" s="7" t="s">
        <v>30</v>
      </c>
      <c r="D230" s="7" t="s">
        <v>31</v>
      </c>
      <c r="E230" s="7"/>
      <c r="F230" s="7"/>
      <c r="G230" s="7" t="s">
        <v>425</v>
      </c>
      <c r="H230" s="7" t="s">
        <v>180</v>
      </c>
      <c r="I230" s="7"/>
      <c r="J230" s="7"/>
      <c r="K230" s="7"/>
      <c r="L230" s="7"/>
    </row>
    <row r="231" spans="1:12">
      <c r="A231" s="7" t="s">
        <v>29</v>
      </c>
      <c r="B231" s="7">
        <v>80114895</v>
      </c>
      <c r="C231" s="7" t="s">
        <v>30</v>
      </c>
      <c r="D231" s="7" t="s">
        <v>31</v>
      </c>
      <c r="E231" s="7"/>
      <c r="F231" s="7"/>
      <c r="G231" s="7" t="s">
        <v>180</v>
      </c>
      <c r="H231" s="7"/>
      <c r="I231" s="7" t="s">
        <v>425</v>
      </c>
      <c r="J231" s="7"/>
      <c r="K231" s="7"/>
      <c r="L231" s="7"/>
    </row>
    <row r="232" spans="1:12">
      <c r="A232" s="7" t="s">
        <v>185</v>
      </c>
      <c r="B232" s="7">
        <v>80129423</v>
      </c>
      <c r="C232" s="7" t="s">
        <v>30</v>
      </c>
      <c r="D232" s="7" t="s">
        <v>31</v>
      </c>
      <c r="E232" s="7"/>
      <c r="F232" s="7"/>
      <c r="G232" s="7"/>
      <c r="H232" s="7"/>
      <c r="I232" s="7"/>
      <c r="J232" s="7"/>
      <c r="K232" s="7"/>
      <c r="L232" s="7"/>
    </row>
    <row r="233" spans="1:12">
      <c r="A233" s="7" t="s">
        <v>387</v>
      </c>
      <c r="B233" s="7">
        <v>80069016</v>
      </c>
      <c r="C233" s="7" t="s">
        <v>30</v>
      </c>
      <c r="D233" s="7" t="s">
        <v>31</v>
      </c>
      <c r="E233" s="7"/>
      <c r="F233" s="7"/>
      <c r="G233" s="7"/>
      <c r="H233" s="7" t="s">
        <v>425</v>
      </c>
      <c r="I233" s="7" t="s">
        <v>180</v>
      </c>
      <c r="J233" s="7"/>
      <c r="K233" s="7"/>
      <c r="L233" s="7"/>
    </row>
    <row r="234" spans="1:12">
      <c r="A234" s="7" t="s">
        <v>231</v>
      </c>
      <c r="B234" s="7">
        <v>80079475</v>
      </c>
      <c r="C234" s="7" t="s">
        <v>18</v>
      </c>
      <c r="D234" s="7" t="s">
        <v>25</v>
      </c>
      <c r="E234" s="7"/>
      <c r="F234" s="7"/>
      <c r="G234" s="7"/>
      <c r="H234" s="7"/>
      <c r="I234" s="7" t="s">
        <v>425</v>
      </c>
      <c r="J234" s="7"/>
      <c r="K234" s="7"/>
      <c r="L234" s="7"/>
    </row>
    <row r="235" spans="1:12">
      <c r="A235" s="7" t="s">
        <v>24</v>
      </c>
      <c r="B235" s="7">
        <v>80107450</v>
      </c>
      <c r="C235" s="7" t="s">
        <v>18</v>
      </c>
      <c r="D235" s="7" t="s">
        <v>25</v>
      </c>
      <c r="E235" s="7"/>
      <c r="F235" s="7"/>
      <c r="G235" s="7"/>
      <c r="H235" s="7"/>
      <c r="I235" s="7"/>
      <c r="J235" s="7"/>
      <c r="K235" s="7"/>
      <c r="L235" s="7"/>
    </row>
    <row r="236" spans="1:12">
      <c r="A236" s="7" t="s">
        <v>384</v>
      </c>
      <c r="B236" s="7">
        <v>80127483</v>
      </c>
      <c r="C236" s="7" t="s">
        <v>18</v>
      </c>
      <c r="D236" s="7" t="s">
        <v>25</v>
      </c>
      <c r="E236" s="7"/>
      <c r="F236" s="7"/>
      <c r="G236" s="7"/>
      <c r="H236" s="7"/>
      <c r="I236" s="7"/>
      <c r="J236" s="7"/>
      <c r="K236" s="7"/>
      <c r="L236" s="7"/>
    </row>
    <row r="237" spans="1:12">
      <c r="A237" s="7" t="s">
        <v>372</v>
      </c>
      <c r="B237" s="7">
        <v>80128533</v>
      </c>
      <c r="C237" s="7" t="s">
        <v>18</v>
      </c>
      <c r="D237" s="7" t="s">
        <v>25</v>
      </c>
      <c r="E237" s="7"/>
      <c r="F237" s="7"/>
      <c r="G237" s="7"/>
      <c r="H237" s="7"/>
      <c r="I237" s="7"/>
      <c r="J237" s="7"/>
      <c r="K237" s="7"/>
      <c r="L237" s="7"/>
    </row>
    <row r="238" spans="1:12">
      <c r="A238" s="7" t="s">
        <v>382</v>
      </c>
      <c r="B238" s="7">
        <v>80121220</v>
      </c>
      <c r="C238" s="7" t="s">
        <v>30</v>
      </c>
      <c r="D238" s="7" t="s">
        <v>169</v>
      </c>
      <c r="E238" s="7"/>
      <c r="F238" s="7"/>
      <c r="G238" s="7"/>
      <c r="H238" s="7"/>
      <c r="I238" s="7"/>
      <c r="J238" s="7"/>
      <c r="K238" s="7"/>
      <c r="L238" s="7"/>
    </row>
    <row r="239" spans="1:12">
      <c r="A239" s="7" t="s">
        <v>332</v>
      </c>
      <c r="B239" s="7">
        <v>80126580</v>
      </c>
      <c r="C239" s="7" t="s">
        <v>30</v>
      </c>
      <c r="D239" s="7" t="s">
        <v>169</v>
      </c>
      <c r="E239" s="7"/>
      <c r="F239" s="7"/>
      <c r="G239" s="7"/>
      <c r="H239" s="7"/>
      <c r="I239" s="7"/>
      <c r="J239" s="7"/>
      <c r="K239" s="7"/>
      <c r="L239" s="7"/>
    </row>
    <row r="240" spans="1:12">
      <c r="A240" s="7" t="s">
        <v>168</v>
      </c>
      <c r="B240" s="7">
        <v>80114460</v>
      </c>
      <c r="C240" s="7" t="s">
        <v>30</v>
      </c>
      <c r="D240" s="7" t="s">
        <v>169</v>
      </c>
      <c r="E240" s="7"/>
      <c r="F240" s="7"/>
      <c r="G240" s="7"/>
      <c r="H240" s="7"/>
      <c r="I240" s="7"/>
      <c r="J240" s="7"/>
      <c r="K240" s="7"/>
      <c r="L240" s="7"/>
    </row>
    <row r="241" spans="1:12">
      <c r="A241" s="7" t="s">
        <v>325</v>
      </c>
      <c r="B241" s="7">
        <v>80099914</v>
      </c>
      <c r="C241" s="7" t="s">
        <v>30</v>
      </c>
      <c r="D241" s="7" t="s">
        <v>169</v>
      </c>
      <c r="E241" s="7"/>
      <c r="F241" s="7"/>
      <c r="G241" s="7"/>
      <c r="H241" s="7"/>
      <c r="I241" s="7"/>
      <c r="J241" s="7"/>
      <c r="K241" s="7"/>
      <c r="L241" s="7"/>
    </row>
    <row r="242" spans="1:12">
      <c r="A242" s="7" t="s">
        <v>272</v>
      </c>
      <c r="B242" s="7">
        <v>80051240</v>
      </c>
      <c r="C242" s="7" t="s">
        <v>18</v>
      </c>
      <c r="D242" s="7" t="s">
        <v>39</v>
      </c>
      <c r="E242" s="7"/>
      <c r="F242" s="7"/>
      <c r="G242" s="7"/>
      <c r="H242" s="7"/>
      <c r="I242" s="7"/>
      <c r="J242" s="7"/>
      <c r="K242" s="7"/>
      <c r="L242" s="7"/>
    </row>
    <row r="243" spans="1:12">
      <c r="A243" s="7" t="s">
        <v>234</v>
      </c>
      <c r="B243" s="7">
        <v>80115112</v>
      </c>
      <c r="C243" s="7" t="s">
        <v>18</v>
      </c>
      <c r="D243" s="7" t="s">
        <v>39</v>
      </c>
      <c r="E243" s="7"/>
      <c r="F243" s="7"/>
      <c r="G243" s="7"/>
      <c r="H243" s="7"/>
      <c r="I243" s="7"/>
      <c r="J243" s="7"/>
      <c r="K243" s="7"/>
      <c r="L243" s="7"/>
    </row>
    <row r="244" spans="1:12">
      <c r="A244" s="7" t="s">
        <v>38</v>
      </c>
      <c r="B244" s="7">
        <v>80072370</v>
      </c>
      <c r="C244" s="7" t="s">
        <v>18</v>
      </c>
      <c r="D244" s="7" t="s">
        <v>39</v>
      </c>
      <c r="E244" s="7"/>
      <c r="F244" s="7"/>
      <c r="G244" s="7"/>
      <c r="H244" s="7"/>
      <c r="I244" s="7"/>
      <c r="J244" s="7"/>
      <c r="K244" s="7"/>
      <c r="L244" s="7"/>
    </row>
    <row r="245" spans="1:12">
      <c r="A245" s="7" t="s">
        <v>386</v>
      </c>
      <c r="B245" s="7">
        <v>80075859</v>
      </c>
      <c r="C245" s="7" t="s">
        <v>18</v>
      </c>
      <c r="D245" s="7" t="s">
        <v>39</v>
      </c>
      <c r="E245" s="7"/>
      <c r="F245" s="7"/>
      <c r="G245" s="7"/>
      <c r="H245" s="7"/>
      <c r="I245" s="7"/>
      <c r="J245" s="7"/>
      <c r="K245" s="7"/>
      <c r="L245" s="7"/>
    </row>
    <row r="246" spans="1:12">
      <c r="A246" s="7" t="s">
        <v>164</v>
      </c>
      <c r="B246" s="7">
        <v>80000001</v>
      </c>
      <c r="C246" s="7" t="s">
        <v>18</v>
      </c>
      <c r="D246" s="7" t="s">
        <v>165</v>
      </c>
      <c r="E246" s="7"/>
      <c r="F246" s="7"/>
      <c r="G246" s="7"/>
      <c r="H246" s="7"/>
      <c r="I246" s="7"/>
      <c r="J246" s="7"/>
      <c r="K246" s="7"/>
      <c r="L246" s="7"/>
    </row>
    <row r="247" spans="1:12">
      <c r="A247" s="7" t="s">
        <v>306</v>
      </c>
      <c r="B247" s="7">
        <v>80081943</v>
      </c>
      <c r="C247" s="7" t="s">
        <v>18</v>
      </c>
      <c r="D247" s="7" t="s">
        <v>165</v>
      </c>
      <c r="E247" s="7"/>
      <c r="F247" s="7"/>
      <c r="G247" s="7"/>
      <c r="H247" s="7"/>
      <c r="I247" s="7"/>
      <c r="J247" s="7"/>
      <c r="K247" s="7"/>
      <c r="L247" s="7"/>
    </row>
    <row r="248" spans="1:12">
      <c r="A248" s="7" t="s">
        <v>406</v>
      </c>
      <c r="B248" s="7">
        <v>80127843</v>
      </c>
      <c r="C248" s="7" t="s">
        <v>18</v>
      </c>
      <c r="D248" s="7" t="s">
        <v>165</v>
      </c>
      <c r="E248" s="7"/>
      <c r="F248" s="7"/>
      <c r="G248" s="7"/>
      <c r="H248" s="7" t="s">
        <v>425</v>
      </c>
      <c r="I248" s="7"/>
      <c r="J248" s="7"/>
      <c r="K248" s="7"/>
      <c r="L248" s="7"/>
    </row>
    <row r="249" spans="1:12">
      <c r="A249" s="7" t="s">
        <v>239</v>
      </c>
      <c r="B249" s="7">
        <v>80118662</v>
      </c>
      <c r="C249" s="7" t="s">
        <v>30</v>
      </c>
      <c r="D249" s="7" t="s">
        <v>133</v>
      </c>
      <c r="E249" s="7"/>
      <c r="F249" s="7"/>
      <c r="G249" s="7"/>
      <c r="H249" s="7"/>
      <c r="I249" s="7"/>
      <c r="J249" s="7"/>
      <c r="K249" s="7"/>
      <c r="L249" s="7"/>
    </row>
    <row r="250" spans="1:12">
      <c r="A250" s="7" t="s">
        <v>132</v>
      </c>
      <c r="B250" s="7">
        <v>80124809</v>
      </c>
      <c r="C250" s="7" t="s">
        <v>30</v>
      </c>
      <c r="D250" s="7" t="s">
        <v>133</v>
      </c>
      <c r="E250" s="7"/>
      <c r="F250" s="7"/>
      <c r="G250" s="7"/>
      <c r="H250" s="7"/>
      <c r="I250" s="7"/>
      <c r="J250" s="7"/>
      <c r="K250" s="7"/>
      <c r="L250" s="7"/>
    </row>
    <row r="251" spans="1:12">
      <c r="A251" s="7" t="s">
        <v>219</v>
      </c>
      <c r="B251" s="7">
        <v>80092578</v>
      </c>
      <c r="C251" s="7" t="s">
        <v>30</v>
      </c>
      <c r="D251" s="7" t="s">
        <v>133</v>
      </c>
      <c r="E251" s="7"/>
      <c r="F251" s="7"/>
      <c r="G251" s="7"/>
      <c r="H251" s="7"/>
      <c r="I251" s="7"/>
      <c r="J251" s="7"/>
      <c r="K251" s="7"/>
      <c r="L251" s="7"/>
    </row>
    <row r="252" spans="1:12">
      <c r="A252" s="7" t="s">
        <v>388</v>
      </c>
      <c r="B252" s="7">
        <v>80002070</v>
      </c>
      <c r="C252" s="7" t="s">
        <v>30</v>
      </c>
      <c r="D252" s="7" t="s">
        <v>133</v>
      </c>
      <c r="E252" s="7"/>
      <c r="F252" s="7"/>
      <c r="G252" s="7"/>
      <c r="H252" s="7"/>
      <c r="I252" s="7"/>
      <c r="J252" s="7"/>
      <c r="K252" s="7"/>
      <c r="L252" s="7"/>
    </row>
    <row r="253" spans="1:12">
      <c r="A253" s="7" t="s">
        <v>70</v>
      </c>
      <c r="B253" s="7">
        <v>80070943</v>
      </c>
      <c r="C253" s="7" t="s">
        <v>18</v>
      </c>
      <c r="D253" s="7" t="s">
        <v>71</v>
      </c>
      <c r="E253" s="7"/>
      <c r="F253" s="7"/>
      <c r="G253" s="7"/>
      <c r="H253" s="7"/>
      <c r="I253" s="7"/>
      <c r="J253" s="7"/>
      <c r="K253" s="7"/>
      <c r="L253" s="7"/>
    </row>
    <row r="254" spans="1:12">
      <c r="A254" s="7" t="s">
        <v>309</v>
      </c>
      <c r="B254" s="7">
        <v>80057719</v>
      </c>
      <c r="C254" s="7" t="s">
        <v>18</v>
      </c>
      <c r="D254" s="7" t="s">
        <v>71</v>
      </c>
      <c r="E254" s="7" t="s">
        <v>180</v>
      </c>
      <c r="F254" s="7"/>
      <c r="G254" s="7"/>
      <c r="H254" s="7"/>
      <c r="I254" s="7" t="s">
        <v>425</v>
      </c>
      <c r="J254" s="7"/>
      <c r="K254" s="7"/>
      <c r="L254" s="7"/>
    </row>
    <row r="255" spans="1:12">
      <c r="A255" s="7" t="s">
        <v>414</v>
      </c>
      <c r="B255" s="7">
        <v>80123622</v>
      </c>
      <c r="C255" s="7" t="s">
        <v>18</v>
      </c>
      <c r="D255" s="7" t="s">
        <v>71</v>
      </c>
      <c r="E255" s="7"/>
      <c r="F255" s="7"/>
      <c r="G255" s="7"/>
      <c r="H255" s="7"/>
      <c r="I255" s="7"/>
      <c r="J255" s="7"/>
      <c r="K255" s="7"/>
      <c r="L255" s="7"/>
    </row>
    <row r="256" spans="1:12">
      <c r="A256" s="7" t="s">
        <v>393</v>
      </c>
      <c r="B256" s="7">
        <v>80128274</v>
      </c>
      <c r="C256" s="7" t="s">
        <v>18</v>
      </c>
      <c r="D256" s="7" t="s">
        <v>71</v>
      </c>
      <c r="E256" s="7"/>
      <c r="F256" s="7"/>
      <c r="G256" s="7"/>
      <c r="H256" s="7"/>
      <c r="I256" s="7" t="s">
        <v>180</v>
      </c>
      <c r="J256" s="7"/>
      <c r="K256" s="7"/>
      <c r="L256" s="7"/>
    </row>
    <row r="257" spans="1:12">
      <c r="A257" s="7" t="s">
        <v>285</v>
      </c>
      <c r="B257" s="7">
        <v>80116509</v>
      </c>
      <c r="C257" s="7" t="s">
        <v>30</v>
      </c>
      <c r="D257" s="7" t="s">
        <v>105</v>
      </c>
      <c r="E257" s="7"/>
      <c r="F257" s="7"/>
      <c r="G257" s="7"/>
      <c r="H257" s="7"/>
      <c r="I257" s="7"/>
      <c r="J257" s="7"/>
      <c r="K257" s="7"/>
      <c r="L257" s="7"/>
    </row>
    <row r="258" spans="1:12">
      <c r="A258" s="7" t="s">
        <v>411</v>
      </c>
      <c r="B258" s="7">
        <v>80101306</v>
      </c>
      <c r="C258" s="7" t="s">
        <v>30</v>
      </c>
      <c r="D258" s="7" t="s">
        <v>105</v>
      </c>
      <c r="E258" s="7"/>
      <c r="F258" s="7"/>
      <c r="G258" s="7"/>
      <c r="H258" s="7"/>
      <c r="I258" s="7"/>
      <c r="J258" s="7"/>
      <c r="K258" s="7"/>
      <c r="L258" s="7"/>
    </row>
    <row r="259" spans="1:12">
      <c r="A259" s="7" t="s">
        <v>375</v>
      </c>
      <c r="B259" s="7">
        <v>80065860</v>
      </c>
      <c r="C259" s="7" t="s">
        <v>30</v>
      </c>
      <c r="D259" s="7" t="s">
        <v>105</v>
      </c>
      <c r="E259" s="7"/>
      <c r="F259" s="7"/>
      <c r="G259" s="7"/>
      <c r="H259" s="7"/>
      <c r="I259" s="7"/>
      <c r="J259" s="7"/>
      <c r="K259" s="7"/>
      <c r="L259" s="7"/>
    </row>
    <row r="260" spans="1:12">
      <c r="A260" s="7" t="s">
        <v>104</v>
      </c>
      <c r="B260" s="7">
        <v>80112177</v>
      </c>
      <c r="C260" s="7" t="s">
        <v>30</v>
      </c>
      <c r="D260" s="7" t="s">
        <v>105</v>
      </c>
      <c r="E260" s="7"/>
      <c r="F260" s="7"/>
      <c r="G260" s="7"/>
      <c r="H260" s="7"/>
      <c r="I260" s="7"/>
      <c r="J260" s="7"/>
      <c r="K260" s="7"/>
      <c r="L260" s="7"/>
    </row>
    <row r="261" spans="1:12">
      <c r="A261" s="7" t="s">
        <v>301</v>
      </c>
      <c r="B261" s="7">
        <v>80030300</v>
      </c>
      <c r="C261" s="7" t="s">
        <v>18</v>
      </c>
      <c r="D261" s="7" t="s">
        <v>155</v>
      </c>
      <c r="E261" s="7"/>
      <c r="F261" s="7"/>
      <c r="G261" s="7"/>
      <c r="H261" s="7"/>
      <c r="I261" s="7"/>
      <c r="J261" s="7"/>
      <c r="K261" s="7"/>
      <c r="L261" s="7"/>
    </row>
    <row r="262" spans="1:12">
      <c r="A262" s="7" t="s">
        <v>154</v>
      </c>
      <c r="B262" s="7">
        <v>80115732</v>
      </c>
      <c r="C262" s="7" t="s">
        <v>18</v>
      </c>
      <c r="D262" s="7" t="s">
        <v>155</v>
      </c>
      <c r="E262" s="7"/>
      <c r="F262" s="7"/>
      <c r="G262" s="7"/>
      <c r="H262" s="7"/>
      <c r="I262" s="7"/>
      <c r="J262" s="7"/>
      <c r="K262" s="7"/>
      <c r="L262" s="7"/>
    </row>
    <row r="263" spans="1:12">
      <c r="A263" s="7" t="s">
        <v>357</v>
      </c>
      <c r="B263" s="7">
        <v>80107564</v>
      </c>
      <c r="C263" s="7" t="s">
        <v>18</v>
      </c>
      <c r="D263" s="7" t="s">
        <v>155</v>
      </c>
      <c r="E263" s="7"/>
      <c r="F263" s="7"/>
      <c r="G263" s="7"/>
      <c r="H263" s="7"/>
      <c r="I263" s="7"/>
      <c r="J263" s="7"/>
      <c r="K263" s="7"/>
      <c r="L263" s="7"/>
    </row>
    <row r="264" spans="1:12">
      <c r="A264" s="7" t="s">
        <v>333</v>
      </c>
      <c r="B264" s="7">
        <v>80105959</v>
      </c>
      <c r="C264" s="7" t="s">
        <v>18</v>
      </c>
      <c r="D264" s="7" t="s">
        <v>155</v>
      </c>
      <c r="E264" s="7"/>
      <c r="F264" s="7"/>
      <c r="G264" s="7"/>
      <c r="H264" s="7"/>
      <c r="I264" s="7"/>
      <c r="J264" s="7"/>
      <c r="K264" s="7"/>
      <c r="L264" s="7"/>
    </row>
    <row r="265" spans="1:12">
      <c r="A265" s="7" t="s">
        <v>228</v>
      </c>
      <c r="B265" s="7">
        <v>80117079</v>
      </c>
      <c r="C265" s="7" t="s">
        <v>30</v>
      </c>
      <c r="D265" s="7" t="s">
        <v>61</v>
      </c>
      <c r="E265" s="7"/>
      <c r="F265" s="7"/>
      <c r="G265" s="7"/>
      <c r="H265" s="7"/>
      <c r="I265" s="7"/>
      <c r="J265" s="7"/>
      <c r="K265" s="7"/>
      <c r="L265" s="7"/>
    </row>
    <row r="266" spans="1:12">
      <c r="A266" s="7" t="s">
        <v>194</v>
      </c>
      <c r="B266" s="7">
        <v>80125423</v>
      </c>
      <c r="C266" s="7" t="s">
        <v>30</v>
      </c>
      <c r="D266" s="7" t="s">
        <v>61</v>
      </c>
      <c r="E266" s="7"/>
      <c r="F266" s="7"/>
      <c r="G266" s="7"/>
      <c r="H266" s="7"/>
      <c r="I266" s="7"/>
      <c r="J266" s="7"/>
      <c r="K266" s="7"/>
      <c r="L266" s="7"/>
    </row>
    <row r="267" spans="1:12">
      <c r="A267" s="7" t="s">
        <v>60</v>
      </c>
      <c r="B267" s="7">
        <v>80002044</v>
      </c>
      <c r="C267" s="7" t="s">
        <v>30</v>
      </c>
      <c r="D267" s="7" t="s">
        <v>61</v>
      </c>
      <c r="E267" s="7"/>
      <c r="F267" s="7"/>
      <c r="G267" s="7"/>
      <c r="H267" s="7"/>
      <c r="I267" s="7"/>
      <c r="J267" s="7"/>
      <c r="K267" s="7"/>
      <c r="L267" s="7"/>
    </row>
    <row r="268" spans="1:12">
      <c r="A268" s="7" t="s">
        <v>201</v>
      </c>
      <c r="B268" s="7">
        <v>80112217</v>
      </c>
      <c r="C268" s="7" t="s">
        <v>30</v>
      </c>
      <c r="D268" s="7" t="s">
        <v>61</v>
      </c>
      <c r="E268" s="7"/>
      <c r="F268" s="7"/>
      <c r="G268" s="7"/>
      <c r="H268" s="7"/>
      <c r="I268" s="7"/>
      <c r="J268" s="7"/>
      <c r="K268" s="7"/>
      <c r="L268" s="7"/>
    </row>
    <row r="269" spans="1:12">
      <c r="A269" s="7" t="s">
        <v>299</v>
      </c>
      <c r="B269" s="7">
        <v>80105950</v>
      </c>
      <c r="C269" s="7" t="s">
        <v>18</v>
      </c>
      <c r="D269" s="7" t="s">
        <v>89</v>
      </c>
      <c r="E269" s="7"/>
      <c r="F269" s="7"/>
      <c r="G269" s="7"/>
      <c r="H269" s="7"/>
      <c r="I269" s="7" t="s">
        <v>180</v>
      </c>
      <c r="J269" s="7"/>
      <c r="K269" s="7"/>
      <c r="L269" s="7"/>
    </row>
    <row r="270" spans="1:12">
      <c r="A270" s="7" t="s">
        <v>288</v>
      </c>
      <c r="B270" s="7">
        <v>80121643</v>
      </c>
      <c r="C270" s="7" t="s">
        <v>18</v>
      </c>
      <c r="D270" s="7" t="s">
        <v>89</v>
      </c>
      <c r="E270" s="7"/>
      <c r="F270" s="7" t="s">
        <v>180</v>
      </c>
      <c r="G270" s="7"/>
      <c r="H270" s="7"/>
      <c r="I270" s="7"/>
      <c r="J270" s="7" t="s">
        <v>428</v>
      </c>
      <c r="K270" s="7"/>
      <c r="L270" s="7"/>
    </row>
    <row r="271" spans="1:12">
      <c r="A271" s="7" t="s">
        <v>290</v>
      </c>
      <c r="B271" s="7">
        <v>80115263</v>
      </c>
      <c r="C271" s="7" t="s">
        <v>18</v>
      </c>
      <c r="D271" s="7" t="s">
        <v>89</v>
      </c>
      <c r="E271" s="7"/>
      <c r="F271" s="7"/>
      <c r="G271" s="7" t="s">
        <v>180</v>
      </c>
      <c r="H271" s="7" t="s">
        <v>425</v>
      </c>
      <c r="I271" s="7"/>
      <c r="J271" s="7"/>
      <c r="K271" s="7"/>
      <c r="L271" s="7" t="s">
        <v>180</v>
      </c>
    </row>
    <row r="272" spans="1:12">
      <c r="A272" s="7" t="s">
        <v>88</v>
      </c>
      <c r="B272" s="7">
        <v>80118270</v>
      </c>
      <c r="C272" s="7" t="s">
        <v>18</v>
      </c>
      <c r="D272" s="7" t="s">
        <v>89</v>
      </c>
      <c r="E272" s="7" t="s">
        <v>180</v>
      </c>
      <c r="F272" s="7"/>
      <c r="G272" s="7"/>
      <c r="H272" s="7"/>
      <c r="I272" s="7"/>
      <c r="J272" s="7"/>
      <c r="K272" s="7"/>
      <c r="L272" s="7" t="s">
        <v>180</v>
      </c>
    </row>
    <row r="273" spans="1:12">
      <c r="A273" s="7" t="s">
        <v>350</v>
      </c>
      <c r="B273" s="7">
        <v>80128326</v>
      </c>
      <c r="C273" s="7" t="s">
        <v>18</v>
      </c>
      <c r="D273" s="7" t="s">
        <v>89</v>
      </c>
      <c r="E273" s="7"/>
      <c r="F273" s="7"/>
      <c r="G273" s="7"/>
      <c r="H273" s="7"/>
      <c r="I273" s="7"/>
      <c r="J273" s="7"/>
      <c r="K273" s="7"/>
      <c r="L273" s="7" t="s">
        <v>180</v>
      </c>
    </row>
    <row r="274" spans="1:12">
      <c r="A274" s="7" t="s">
        <v>316</v>
      </c>
      <c r="B274" s="7">
        <v>80089125</v>
      </c>
      <c r="C274" s="7" t="s">
        <v>18</v>
      </c>
      <c r="D274" s="7" t="s">
        <v>89</v>
      </c>
      <c r="E274" s="7"/>
      <c r="F274" s="7"/>
      <c r="G274" s="7"/>
      <c r="H274" s="7"/>
      <c r="I274" s="7"/>
      <c r="J274" s="7"/>
      <c r="K274" s="7"/>
      <c r="L274" s="7" t="s">
        <v>180</v>
      </c>
    </row>
    <row r="275" spans="1:12">
      <c r="A275" s="7" t="s">
        <v>199</v>
      </c>
      <c r="B275" s="7">
        <v>80121644</v>
      </c>
      <c r="C275" s="7" t="s">
        <v>18</v>
      </c>
      <c r="D275" s="7" t="s">
        <v>89</v>
      </c>
      <c r="E275" s="7"/>
      <c r="F275" s="7"/>
      <c r="G275" s="7"/>
      <c r="H275" s="7" t="s">
        <v>180</v>
      </c>
      <c r="I275" s="7"/>
      <c r="J275" s="7" t="s">
        <v>428</v>
      </c>
      <c r="K275" s="7"/>
      <c r="L275" s="7" t="s">
        <v>180</v>
      </c>
    </row>
    <row r="276" spans="1:12">
      <c r="A276" s="7" t="s">
        <v>275</v>
      </c>
      <c r="B276" s="7">
        <v>80112419</v>
      </c>
      <c r="C276" s="7" t="s">
        <v>18</v>
      </c>
      <c r="D276" s="7" t="s">
        <v>69</v>
      </c>
      <c r="E276" s="7" t="s">
        <v>180</v>
      </c>
      <c r="F276" s="7"/>
      <c r="G276" s="7"/>
      <c r="H276" s="7"/>
      <c r="I276" s="7"/>
      <c r="J276" s="7"/>
      <c r="K276" s="7"/>
      <c r="L276" s="7"/>
    </row>
    <row r="277" spans="1:12">
      <c r="A277" s="7" t="s">
        <v>68</v>
      </c>
      <c r="B277" s="7">
        <v>80123620</v>
      </c>
      <c r="C277" s="7" t="s">
        <v>18</v>
      </c>
      <c r="D277" s="7" t="s">
        <v>69</v>
      </c>
      <c r="E277" s="7" t="s">
        <v>180</v>
      </c>
      <c r="F277" s="7"/>
      <c r="G277" s="7"/>
      <c r="H277" s="7"/>
      <c r="I277" s="7"/>
      <c r="J277" s="7"/>
      <c r="K277" s="7"/>
      <c r="L277" s="7"/>
    </row>
    <row r="278" spans="1:12">
      <c r="A278" s="7" t="s">
        <v>401</v>
      </c>
      <c r="B278" s="7">
        <v>80127577</v>
      </c>
      <c r="C278" s="7" t="s">
        <v>18</v>
      </c>
      <c r="D278" s="7" t="s">
        <v>69</v>
      </c>
      <c r="E278" s="7"/>
      <c r="F278" s="7" t="s">
        <v>180</v>
      </c>
      <c r="G278" s="7" t="s">
        <v>180</v>
      </c>
      <c r="H278" s="7"/>
      <c r="I278" s="7"/>
      <c r="J278" s="7"/>
      <c r="K278" s="7"/>
      <c r="L278" s="7"/>
    </row>
    <row r="279" spans="1:12">
      <c r="A279" s="7" t="s">
        <v>254</v>
      </c>
      <c r="B279" s="7">
        <v>80104210</v>
      </c>
      <c r="C279" s="7" t="s">
        <v>18</v>
      </c>
      <c r="D279" s="7" t="s">
        <v>69</v>
      </c>
      <c r="E279" s="7"/>
      <c r="F279" s="7"/>
      <c r="G279" s="7"/>
      <c r="H279" s="7"/>
      <c r="I279" s="7"/>
      <c r="J279" s="7"/>
      <c r="K279" s="7"/>
      <c r="L279" s="7"/>
    </row>
    <row r="280" spans="1:12">
      <c r="A280" s="7" t="s">
        <v>222</v>
      </c>
      <c r="B280" s="7">
        <v>80121682</v>
      </c>
      <c r="C280" s="7" t="s">
        <v>18</v>
      </c>
      <c r="D280" s="7" t="s">
        <v>35</v>
      </c>
      <c r="E280" s="7"/>
      <c r="F280" s="7"/>
      <c r="G280" s="7"/>
      <c r="H280" s="7" t="s">
        <v>425</v>
      </c>
      <c r="I280" s="7" t="s">
        <v>180</v>
      </c>
      <c r="J280" s="7"/>
      <c r="K280" s="7"/>
      <c r="L280" s="7"/>
    </row>
    <row r="281" spans="1:12">
      <c r="A281" s="7" t="s">
        <v>34</v>
      </c>
      <c r="B281" s="7">
        <v>80126642</v>
      </c>
      <c r="C281" s="7" t="s">
        <v>18</v>
      </c>
      <c r="D281" s="7" t="s">
        <v>35</v>
      </c>
      <c r="E281" s="7"/>
      <c r="F281" s="7" t="s">
        <v>427</v>
      </c>
      <c r="G281" s="7" t="s">
        <v>180</v>
      </c>
      <c r="H281" s="7"/>
      <c r="I281" s="7"/>
      <c r="J281" s="7"/>
      <c r="K281" s="7"/>
      <c r="L281" s="7"/>
    </row>
    <row r="282" spans="1:12">
      <c r="A282" s="7" t="s">
        <v>183</v>
      </c>
      <c r="B282" s="7">
        <v>80122890</v>
      </c>
      <c r="C282" s="7" t="s">
        <v>18</v>
      </c>
      <c r="D282" s="7" t="s">
        <v>35</v>
      </c>
      <c r="E282" s="7"/>
      <c r="F282" s="7"/>
      <c r="G282" s="7" t="s">
        <v>425</v>
      </c>
      <c r="H282" s="7" t="s">
        <v>180</v>
      </c>
      <c r="I282" s="7"/>
      <c r="J282" s="7"/>
      <c r="K282" s="7"/>
      <c r="L282" s="7"/>
    </row>
    <row r="283" spans="1:12">
      <c r="A283" s="7" t="s">
        <v>405</v>
      </c>
      <c r="B283" s="7">
        <v>80128477</v>
      </c>
      <c r="C283" s="7" t="s">
        <v>18</v>
      </c>
      <c r="D283" s="7" t="s">
        <v>35</v>
      </c>
      <c r="E283" s="7"/>
      <c r="F283" s="7"/>
      <c r="G283" s="7"/>
      <c r="H283" s="7"/>
      <c r="I283" s="7"/>
      <c r="J283" s="7"/>
      <c r="K283" s="7"/>
      <c r="L283" s="7"/>
    </row>
    <row r="284" spans="1:12">
      <c r="A284" s="7" t="s">
        <v>230</v>
      </c>
      <c r="B284" s="7">
        <v>80123931</v>
      </c>
      <c r="C284" s="7" t="s">
        <v>18</v>
      </c>
      <c r="D284" s="7" t="s">
        <v>127</v>
      </c>
      <c r="E284" s="7"/>
      <c r="F284" s="7"/>
      <c r="G284" s="7"/>
      <c r="H284" s="7"/>
      <c r="I284" s="7"/>
      <c r="J284" s="7"/>
      <c r="K284" s="7"/>
      <c r="L284" s="7"/>
    </row>
    <row r="285" spans="1:12">
      <c r="A285" s="7" t="s">
        <v>221</v>
      </c>
      <c r="B285" s="7">
        <v>80100787</v>
      </c>
      <c r="C285" s="7" t="s">
        <v>18</v>
      </c>
      <c r="D285" s="7" t="s">
        <v>127</v>
      </c>
      <c r="E285" s="7"/>
      <c r="F285" s="7"/>
      <c r="G285" s="7"/>
      <c r="H285" s="7" t="s">
        <v>425</v>
      </c>
      <c r="I285" s="7"/>
      <c r="J285" s="7"/>
      <c r="K285" s="7"/>
      <c r="L285" s="7"/>
    </row>
    <row r="286" spans="1:12">
      <c r="A286" s="7" t="s">
        <v>126</v>
      </c>
      <c r="B286" s="7">
        <v>80125803</v>
      </c>
      <c r="C286" s="7" t="s">
        <v>18</v>
      </c>
      <c r="D286" s="7" t="s">
        <v>127</v>
      </c>
      <c r="E286" s="7"/>
      <c r="F286" s="7"/>
      <c r="G286" s="7" t="s">
        <v>425</v>
      </c>
      <c r="H286" s="7" t="s">
        <v>180</v>
      </c>
      <c r="I286" s="7" t="s">
        <v>180</v>
      </c>
      <c r="J286" s="7"/>
      <c r="K286" s="7"/>
      <c r="L286" s="7"/>
    </row>
    <row r="287" spans="1:12">
      <c r="A287" s="7" t="s">
        <v>367</v>
      </c>
      <c r="B287" s="7">
        <v>80126497</v>
      </c>
      <c r="C287" s="7" t="s">
        <v>18</v>
      </c>
      <c r="D287" s="7" t="s">
        <v>127</v>
      </c>
      <c r="E287" s="7"/>
      <c r="F287" s="7"/>
      <c r="G287" s="7" t="s">
        <v>180</v>
      </c>
      <c r="H287" s="7"/>
      <c r="I287" s="7" t="s">
        <v>425</v>
      </c>
      <c r="J287" s="7"/>
      <c r="K287" s="7"/>
      <c r="L287" s="7"/>
    </row>
    <row r="288" spans="1:12">
      <c r="A288" s="7" t="s">
        <v>210</v>
      </c>
      <c r="B288" s="7">
        <v>80119351</v>
      </c>
      <c r="C288" s="7" t="s">
        <v>18</v>
      </c>
      <c r="D288" s="7" t="s">
        <v>23</v>
      </c>
      <c r="E288" s="7"/>
      <c r="F288" s="7"/>
      <c r="G288" s="7"/>
      <c r="H288" s="7"/>
      <c r="I288" s="7"/>
      <c r="J288" s="7"/>
      <c r="K288" s="7"/>
      <c r="L288" s="7"/>
    </row>
    <row r="289" spans="1:12">
      <c r="A289" s="7" t="s">
        <v>22</v>
      </c>
      <c r="B289" s="7">
        <v>80128943</v>
      </c>
      <c r="C289" s="7" t="s">
        <v>18</v>
      </c>
      <c r="D289" s="7" t="s">
        <v>23</v>
      </c>
      <c r="E289" s="7"/>
      <c r="F289" s="7"/>
      <c r="G289" s="7"/>
      <c r="H289" s="7"/>
      <c r="I289" s="7"/>
      <c r="J289" s="7"/>
      <c r="K289" s="7"/>
      <c r="L289" s="7"/>
    </row>
    <row r="290" spans="1:12">
      <c r="A290" s="7" t="s">
        <v>186</v>
      </c>
      <c r="B290" s="7">
        <v>80127720</v>
      </c>
      <c r="C290" s="7" t="s">
        <v>18</v>
      </c>
      <c r="D290" s="7" t="s">
        <v>23</v>
      </c>
      <c r="E290" s="7"/>
      <c r="F290" s="7"/>
      <c r="G290" s="7"/>
      <c r="H290" s="7"/>
      <c r="I290" s="7"/>
      <c r="J290" s="7"/>
      <c r="K290" s="7"/>
      <c r="L290" s="7"/>
    </row>
    <row r="291" spans="1:12">
      <c r="A291" s="7" t="s">
        <v>340</v>
      </c>
      <c r="B291" s="7">
        <v>80129742</v>
      </c>
      <c r="C291" s="7" t="s">
        <v>18</v>
      </c>
      <c r="D291" s="7" t="s">
        <v>23</v>
      </c>
      <c r="E291" s="7"/>
      <c r="F291" s="7"/>
      <c r="G291" s="7"/>
      <c r="H291" s="7" t="s">
        <v>425</v>
      </c>
      <c r="I291" s="7"/>
      <c r="J291" s="7"/>
      <c r="K291" s="7"/>
      <c r="L291" s="7"/>
    </row>
    <row r="292" spans="1:12">
      <c r="A292" s="7" t="s">
        <v>241</v>
      </c>
      <c r="B292" s="7">
        <v>80123780</v>
      </c>
      <c r="C292" s="7" t="s">
        <v>18</v>
      </c>
      <c r="D292" s="7" t="s">
        <v>137</v>
      </c>
      <c r="E292" s="7"/>
      <c r="F292" s="7"/>
      <c r="G292" s="7"/>
      <c r="H292" s="7"/>
      <c r="I292" s="7"/>
      <c r="J292" s="7"/>
      <c r="K292" s="7"/>
      <c r="L292" s="7"/>
    </row>
    <row r="293" spans="1:12">
      <c r="A293" s="7" t="s">
        <v>136</v>
      </c>
      <c r="B293" s="7">
        <v>80127722</v>
      </c>
      <c r="C293" s="7" t="s">
        <v>18</v>
      </c>
      <c r="D293" s="7" t="s">
        <v>137</v>
      </c>
      <c r="E293" s="7"/>
      <c r="F293" s="7"/>
      <c r="G293" s="7"/>
      <c r="H293" s="7"/>
      <c r="I293" s="7"/>
      <c r="J293" s="7"/>
      <c r="K293" s="7"/>
      <c r="L293" s="7"/>
    </row>
    <row r="294" spans="1:12">
      <c r="A294" s="7" t="s">
        <v>310</v>
      </c>
      <c r="B294" s="7">
        <v>80111667</v>
      </c>
      <c r="C294" s="7" t="s">
        <v>18</v>
      </c>
      <c r="D294" s="7" t="s">
        <v>137</v>
      </c>
      <c r="E294" s="7"/>
      <c r="F294" s="7"/>
      <c r="G294" s="7"/>
      <c r="H294" s="7"/>
      <c r="I294" s="7"/>
      <c r="J294" s="7"/>
      <c r="K294" s="7"/>
      <c r="L294" s="7"/>
    </row>
    <row r="295" spans="1:12">
      <c r="A295" s="7" t="s">
        <v>370</v>
      </c>
      <c r="B295" s="7">
        <v>80124487</v>
      </c>
      <c r="C295" s="7" t="s">
        <v>18</v>
      </c>
      <c r="D295" s="7" t="s">
        <v>137</v>
      </c>
      <c r="E295" s="7"/>
      <c r="F295" s="7"/>
      <c r="G295" s="7"/>
      <c r="H295" s="7"/>
      <c r="I295" s="7"/>
      <c r="J295" s="7"/>
      <c r="K295" s="7"/>
      <c r="L295" s="7"/>
    </row>
    <row r="296" spans="1:12">
      <c r="A296" s="7" t="s">
        <v>407</v>
      </c>
      <c r="B296" s="7">
        <v>80126979</v>
      </c>
      <c r="C296" s="7" t="s">
        <v>18</v>
      </c>
      <c r="D296" s="7" t="s">
        <v>97</v>
      </c>
      <c r="E296" s="7" t="s">
        <v>180</v>
      </c>
      <c r="F296" s="7" t="s">
        <v>180</v>
      </c>
      <c r="G296" s="7" t="s">
        <v>180</v>
      </c>
      <c r="H296" s="7"/>
      <c r="I296" s="7" t="s">
        <v>180</v>
      </c>
      <c r="J296" s="7" t="s">
        <v>428</v>
      </c>
      <c r="K296" s="7" t="s">
        <v>428</v>
      </c>
      <c r="L296" s="7" t="s">
        <v>180</v>
      </c>
    </row>
    <row r="297" spans="1:12">
      <c r="A297" s="7" t="s">
        <v>395</v>
      </c>
      <c r="B297" s="7">
        <v>80112543</v>
      </c>
      <c r="C297" s="7" t="s">
        <v>18</v>
      </c>
      <c r="D297" s="7" t="s">
        <v>97</v>
      </c>
      <c r="E297" s="7"/>
      <c r="F297" s="7"/>
      <c r="G297" s="7"/>
      <c r="H297" s="7"/>
      <c r="I297" s="7"/>
      <c r="J297" s="7"/>
      <c r="K297" s="7"/>
      <c r="L297" s="7"/>
    </row>
    <row r="298" spans="1:12">
      <c r="A298" s="7" t="s">
        <v>315</v>
      </c>
      <c r="B298" s="7">
        <v>80111573</v>
      </c>
      <c r="C298" s="7" t="s">
        <v>18</v>
      </c>
      <c r="D298" s="7" t="s">
        <v>97</v>
      </c>
      <c r="E298" s="7"/>
      <c r="F298" s="7"/>
      <c r="G298" s="7"/>
      <c r="H298" s="7"/>
      <c r="I298" s="7"/>
      <c r="J298" s="7"/>
      <c r="K298" s="7"/>
      <c r="L298" s="7"/>
    </row>
    <row r="299" spans="1:12">
      <c r="A299" s="7" t="s">
        <v>96</v>
      </c>
      <c r="B299" s="7">
        <v>80100726</v>
      </c>
      <c r="C299" s="7" t="s">
        <v>18</v>
      </c>
      <c r="D299" s="7" t="s">
        <v>97</v>
      </c>
      <c r="E299" s="7"/>
      <c r="F299" s="7"/>
      <c r="G299" s="7"/>
      <c r="H299" s="7"/>
      <c r="I299" s="7"/>
      <c r="J299" s="7"/>
      <c r="K299" s="7" t="s">
        <v>428</v>
      </c>
      <c r="L299" s="7"/>
    </row>
    <row r="300" spans="1:12">
      <c r="A300" s="7" t="s">
        <v>273</v>
      </c>
      <c r="B300" s="7">
        <v>80111330</v>
      </c>
      <c r="C300" s="7" t="s">
        <v>18</v>
      </c>
      <c r="D300" s="7" t="s">
        <v>115</v>
      </c>
      <c r="E300" s="7" t="s">
        <v>180</v>
      </c>
      <c r="F300" s="7"/>
      <c r="G300" s="7"/>
      <c r="H300" s="7"/>
      <c r="I300" s="7"/>
      <c r="J300" s="7"/>
      <c r="K300" s="7"/>
      <c r="L300" s="7"/>
    </row>
    <row r="301" spans="1:12">
      <c r="A301" s="7" t="s">
        <v>114</v>
      </c>
      <c r="B301" s="7">
        <v>80127739</v>
      </c>
      <c r="C301" s="7" t="s">
        <v>18</v>
      </c>
      <c r="D301" s="7" t="s">
        <v>115</v>
      </c>
      <c r="E301" s="7"/>
      <c r="F301" s="7"/>
      <c r="G301" s="7"/>
      <c r="H301" s="7"/>
      <c r="I301" s="7"/>
      <c r="J301" s="7"/>
      <c r="K301" s="7" t="s">
        <v>428</v>
      </c>
      <c r="L301" s="7" t="s">
        <v>180</v>
      </c>
    </row>
    <row r="302" spans="1:12">
      <c r="A302" s="7" t="s">
        <v>412</v>
      </c>
      <c r="B302" s="7">
        <v>80087248</v>
      </c>
      <c r="C302" s="7" t="s">
        <v>18</v>
      </c>
      <c r="D302" s="7" t="s">
        <v>115</v>
      </c>
      <c r="E302" s="7"/>
      <c r="F302" s="7"/>
      <c r="G302" s="7"/>
      <c r="H302" s="7"/>
      <c r="I302" s="7"/>
      <c r="J302" s="7"/>
      <c r="K302" s="7"/>
      <c r="L302" s="7"/>
    </row>
    <row r="303" spans="1:12">
      <c r="A303" s="7" t="s">
        <v>343</v>
      </c>
      <c r="B303" s="7">
        <v>80093227</v>
      </c>
      <c r="C303" s="7" t="s">
        <v>18</v>
      </c>
      <c r="D303" s="7" t="s">
        <v>115</v>
      </c>
      <c r="E303" s="7"/>
      <c r="F303" s="7" t="s">
        <v>180</v>
      </c>
      <c r="G303" s="7" t="s">
        <v>180</v>
      </c>
      <c r="H303" s="7"/>
      <c r="I303" s="7" t="s">
        <v>180</v>
      </c>
      <c r="J303" s="7" t="s">
        <v>428</v>
      </c>
      <c r="K303" s="7" t="s">
        <v>428</v>
      </c>
      <c r="L303" s="7" t="s">
        <v>180</v>
      </c>
    </row>
    <row r="304" spans="1:12">
      <c r="A304" s="7" t="s">
        <v>208</v>
      </c>
      <c r="B304" s="7">
        <v>80129761</v>
      </c>
      <c r="C304" s="7" t="s">
        <v>18</v>
      </c>
      <c r="D304" s="7" t="s">
        <v>87</v>
      </c>
      <c r="E304" s="7" t="s">
        <v>180</v>
      </c>
      <c r="F304" s="7" t="s">
        <v>180</v>
      </c>
      <c r="G304" s="7" t="s">
        <v>180</v>
      </c>
      <c r="H304" s="7"/>
      <c r="I304" s="7"/>
      <c r="J304" s="7" t="s">
        <v>428</v>
      </c>
      <c r="K304" s="7" t="s">
        <v>428</v>
      </c>
      <c r="L304" s="7" t="s">
        <v>180</v>
      </c>
    </row>
    <row r="305" spans="1:12">
      <c r="A305" s="7" t="s">
        <v>86</v>
      </c>
      <c r="B305" s="7">
        <v>80129936</v>
      </c>
      <c r="C305" s="7" t="s">
        <v>18</v>
      </c>
      <c r="D305" s="7" t="s">
        <v>87</v>
      </c>
      <c r="E305" s="7" t="s">
        <v>180</v>
      </c>
      <c r="F305" s="7" t="s">
        <v>180</v>
      </c>
      <c r="G305" s="7" t="s">
        <v>180</v>
      </c>
      <c r="H305" s="7"/>
      <c r="I305" s="7"/>
      <c r="J305" s="7" t="s">
        <v>428</v>
      </c>
      <c r="K305" s="7" t="s">
        <v>428</v>
      </c>
      <c r="L305" s="7" t="s">
        <v>180</v>
      </c>
    </row>
    <row r="306" spans="1:12">
      <c r="A306" s="7" t="s">
        <v>351</v>
      </c>
      <c r="B306" s="7">
        <v>80129758</v>
      </c>
      <c r="C306" s="7" t="s">
        <v>18</v>
      </c>
      <c r="D306" s="7" t="s">
        <v>87</v>
      </c>
      <c r="E306" s="7" t="s">
        <v>180</v>
      </c>
      <c r="F306" s="7" t="s">
        <v>180</v>
      </c>
      <c r="G306" s="7" t="s">
        <v>180</v>
      </c>
      <c r="H306" s="7"/>
      <c r="I306" s="7"/>
      <c r="J306" s="7" t="s">
        <v>428</v>
      </c>
      <c r="K306" s="7" t="s">
        <v>428</v>
      </c>
      <c r="L306" s="7" t="s">
        <v>180</v>
      </c>
    </row>
    <row r="307" spans="1:12">
      <c r="A307" s="7" t="s">
        <v>334</v>
      </c>
      <c r="B307" s="7">
        <v>80129759</v>
      </c>
      <c r="C307" s="7" t="s">
        <v>18</v>
      </c>
      <c r="D307" s="7" t="s">
        <v>87</v>
      </c>
      <c r="E307" s="7" t="s">
        <v>180</v>
      </c>
      <c r="F307" s="7" t="s">
        <v>180</v>
      </c>
      <c r="G307" s="7" t="s">
        <v>180</v>
      </c>
      <c r="H307" s="7"/>
      <c r="I307" s="7"/>
      <c r="J307" s="7" t="s">
        <v>428</v>
      </c>
      <c r="K307" s="7" t="s">
        <v>428</v>
      </c>
      <c r="L307" s="7" t="s">
        <v>180</v>
      </c>
    </row>
    <row r="308" spans="1:12">
      <c r="A308" s="7" t="s">
        <v>211</v>
      </c>
      <c r="B308" s="7">
        <v>80130045</v>
      </c>
      <c r="C308" s="7" t="s">
        <v>18</v>
      </c>
      <c r="D308" s="7" t="s">
        <v>21</v>
      </c>
      <c r="E308" s="7" t="s">
        <v>189</v>
      </c>
      <c r="F308" s="7" t="s">
        <v>189</v>
      </c>
      <c r="G308" s="7" t="s">
        <v>189</v>
      </c>
      <c r="H308" s="7" t="s">
        <v>176</v>
      </c>
      <c r="I308" s="7" t="s">
        <v>176</v>
      </c>
      <c r="J308" s="7" t="s">
        <v>189</v>
      </c>
      <c r="K308" s="7" t="s">
        <v>189</v>
      </c>
      <c r="L308" s="7" t="s">
        <v>177</v>
      </c>
    </row>
    <row r="309" spans="1:12">
      <c r="A309" s="7" t="s">
        <v>321</v>
      </c>
      <c r="B309" s="7">
        <v>80130048</v>
      </c>
      <c r="C309" s="7" t="s">
        <v>46</v>
      </c>
      <c r="D309" s="7" t="s">
        <v>83</v>
      </c>
      <c r="E309" s="7" t="s">
        <v>189</v>
      </c>
      <c r="F309" s="7" t="s">
        <v>189</v>
      </c>
      <c r="G309" s="7" t="s">
        <v>189</v>
      </c>
      <c r="H309" s="7" t="s">
        <v>176</v>
      </c>
      <c r="I309" s="7" t="s">
        <v>176</v>
      </c>
      <c r="J309" s="7" t="s">
        <v>189</v>
      </c>
      <c r="K309" s="7" t="s">
        <v>189</v>
      </c>
      <c r="L309" s="7" t="s">
        <v>177</v>
      </c>
    </row>
  </sheetData>
  <autoFilter ref="A1:L309" xr:uid="{00000000-0009-0000-0000-000004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6</vt:i4>
      </vt:variant>
    </vt:vector>
  </HeadingPairs>
  <TitlesOfParts>
    <vt:vector size="6" baseType="lpstr">
      <vt:lpstr>Dashboard</vt:lpstr>
      <vt:lpstr>Employee_Map</vt:lpstr>
      <vt:lpstr>Managers</vt:lpstr>
      <vt:lpstr>Branches</vt:lpstr>
      <vt:lpstr>Raw_Attendance</vt:lpstr>
      <vt:lpstr>Raw_Absence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abdulrhman alenzi</cp:lastModifiedBy>
  <dcterms:created xsi:type="dcterms:W3CDTF">2026-09-10T08:21:09Z</dcterms:created>
  <dcterms:modified xsi:type="dcterms:W3CDTF">2026-09-23T07:17:17Z</dcterms:modified>
</cp:coreProperties>
</file>